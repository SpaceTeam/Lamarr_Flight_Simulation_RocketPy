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430"/>
  <workbookPr defaultThemeVersion="202300"/>
  <mc:AlternateContent xmlns:mc="http://schemas.openxmlformats.org/markup-compatibility/2006">
    <mc:Choice Requires="x15">
      <x15ac:absPath xmlns:x15ac="http://schemas.microsoft.com/office/spreadsheetml/2010/11/ac" url="F:\Codes\TU Space Team\Lamarr_Flight_Simulation_RocketPy\Lamarr_Flight_Simulation_RocketPy\projects\ALBATROSS_II\"/>
    </mc:Choice>
  </mc:AlternateContent>
  <xr:revisionPtr revIDLastSave="0" documentId="13_ncr:1_{5DDB7491-10CF-4D3D-AC56-E164AC2692DE}" xr6:coauthVersionLast="47" xr6:coauthVersionMax="47" xr10:uidLastSave="{00000000-0000-0000-0000-000000000000}"/>
  <bookViews>
    <workbookView xWindow="-120" yWindow="-120" windowWidth="29040" windowHeight="15720" xr2:uid="{DD9C6801-560F-43BD-A7D9-5D9B87743CE7}"/>
  </bookViews>
  <sheets>
    <sheet name="standard" sheetId="4" r:id="rId1"/>
    <sheet name="main_at_apogee" sheetId="5" r:id="rId2"/>
    <sheet name="Analysis" sheetId="2" r:id="rId3"/>
  </sheets>
  <definedNames>
    <definedName name="_xlnm._FilterDatabase" localSheetId="1" hidden="1">main_at_apogee!$A$5:$AB$32</definedName>
    <definedName name="_xlnm._FilterDatabase" localSheetId="0" hidden="1">standard!$A$5:$AB$32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calcChain.xml><?xml version="1.0" encoding="utf-8"?>
<calcChain xmlns="http://schemas.openxmlformats.org/spreadsheetml/2006/main">
  <c r="V24" i="5" l="1"/>
  <c r="U24" i="5"/>
  <c r="V15" i="5"/>
  <c r="U15" i="5"/>
  <c r="V6" i="5"/>
  <c r="U6" i="5"/>
  <c r="V24" i="4"/>
  <c r="U24" i="4"/>
  <c r="V15" i="4"/>
  <c r="U15" i="4"/>
  <c r="V6" i="4"/>
  <c r="U6" i="4"/>
  <c r="B6" i="5"/>
  <c r="C6" i="5"/>
  <c r="D6" i="5"/>
  <c r="E6" i="5"/>
  <c r="F6" i="5"/>
  <c r="G6" i="5"/>
  <c r="H6" i="5"/>
  <c r="I6" i="5"/>
  <c r="J6" i="5"/>
  <c r="K6" i="5"/>
  <c r="L6" i="5"/>
  <c r="M6" i="5"/>
  <c r="N6" i="5"/>
  <c r="O6" i="5"/>
  <c r="B7" i="5"/>
  <c r="C7" i="5"/>
  <c r="D7" i="5"/>
  <c r="E7" i="5"/>
  <c r="F7" i="5"/>
  <c r="G7" i="5"/>
  <c r="H7" i="5"/>
  <c r="I7" i="5"/>
  <c r="J7" i="5"/>
  <c r="K7" i="5"/>
  <c r="L7" i="5"/>
  <c r="M7" i="5"/>
  <c r="N7" i="5"/>
  <c r="O7" i="5"/>
  <c r="P7" i="5" s="1"/>
  <c r="B8" i="5"/>
  <c r="C8" i="5"/>
  <c r="D8" i="5"/>
  <c r="E8" i="5"/>
  <c r="F8" i="5"/>
  <c r="G8" i="5"/>
  <c r="H8" i="5"/>
  <c r="I8" i="5"/>
  <c r="J8" i="5"/>
  <c r="K8" i="5"/>
  <c r="L8" i="5"/>
  <c r="M8" i="5"/>
  <c r="N8" i="5"/>
  <c r="O8" i="5"/>
  <c r="P8" i="5" s="1"/>
  <c r="B9" i="5"/>
  <c r="C9" i="5"/>
  <c r="D9" i="5"/>
  <c r="E9" i="5"/>
  <c r="F9" i="5"/>
  <c r="G9" i="5"/>
  <c r="H9" i="5"/>
  <c r="I9" i="5"/>
  <c r="J9" i="5"/>
  <c r="K9" i="5"/>
  <c r="L9" i="5"/>
  <c r="M9" i="5"/>
  <c r="N9" i="5"/>
  <c r="O9" i="5"/>
  <c r="P9" i="5" s="1"/>
  <c r="B10" i="5"/>
  <c r="C10" i="5"/>
  <c r="D10" i="5"/>
  <c r="E10" i="5"/>
  <c r="F10" i="5"/>
  <c r="G10" i="5"/>
  <c r="H10" i="5"/>
  <c r="I10" i="5"/>
  <c r="J10" i="5"/>
  <c r="K10" i="5"/>
  <c r="L10" i="5"/>
  <c r="M10" i="5"/>
  <c r="N10" i="5"/>
  <c r="O10" i="5"/>
  <c r="B11" i="5"/>
  <c r="C11" i="5"/>
  <c r="D11" i="5"/>
  <c r="E11" i="5"/>
  <c r="F11" i="5"/>
  <c r="G11" i="5"/>
  <c r="H11" i="5"/>
  <c r="I11" i="5"/>
  <c r="J11" i="5"/>
  <c r="K11" i="5"/>
  <c r="L11" i="5"/>
  <c r="M11" i="5"/>
  <c r="N11" i="5"/>
  <c r="O11" i="5"/>
  <c r="B12" i="5"/>
  <c r="C12" i="5"/>
  <c r="D12" i="5"/>
  <c r="E12" i="5"/>
  <c r="F12" i="5"/>
  <c r="G12" i="5"/>
  <c r="H12" i="5"/>
  <c r="I12" i="5"/>
  <c r="J12" i="5"/>
  <c r="K12" i="5"/>
  <c r="L12" i="5"/>
  <c r="M12" i="5"/>
  <c r="N12" i="5"/>
  <c r="O12" i="5"/>
  <c r="B13" i="5"/>
  <c r="C13" i="5"/>
  <c r="D13" i="5"/>
  <c r="E13" i="5"/>
  <c r="F13" i="5"/>
  <c r="G13" i="5"/>
  <c r="H13" i="5"/>
  <c r="I13" i="5"/>
  <c r="J13" i="5"/>
  <c r="K13" i="5"/>
  <c r="L13" i="5"/>
  <c r="M13" i="5"/>
  <c r="N13" i="5"/>
  <c r="O13" i="5"/>
  <c r="B14" i="5"/>
  <c r="C14" i="5"/>
  <c r="D14" i="5"/>
  <c r="E14" i="5"/>
  <c r="F14" i="5"/>
  <c r="G14" i="5"/>
  <c r="H14" i="5"/>
  <c r="I14" i="5"/>
  <c r="J14" i="5"/>
  <c r="K14" i="5"/>
  <c r="L14" i="5"/>
  <c r="M14" i="5"/>
  <c r="N14" i="5"/>
  <c r="O14" i="5"/>
  <c r="D15" i="5"/>
  <c r="E15" i="5"/>
  <c r="F15" i="5"/>
  <c r="G15" i="5"/>
  <c r="H15" i="5"/>
  <c r="I15" i="5"/>
  <c r="J15" i="5"/>
  <c r="K15" i="5"/>
  <c r="L15" i="5"/>
  <c r="M15" i="5"/>
  <c r="N15" i="5"/>
  <c r="O15" i="5"/>
  <c r="D16" i="5"/>
  <c r="E16" i="5"/>
  <c r="F16" i="5"/>
  <c r="G16" i="5"/>
  <c r="H16" i="5"/>
  <c r="I16" i="5"/>
  <c r="J16" i="5"/>
  <c r="K16" i="5"/>
  <c r="L16" i="5"/>
  <c r="M16" i="5"/>
  <c r="N16" i="5"/>
  <c r="O16" i="5"/>
  <c r="C17" i="5"/>
  <c r="D17" i="5"/>
  <c r="E17" i="5"/>
  <c r="F17" i="5"/>
  <c r="G17" i="5"/>
  <c r="H17" i="5"/>
  <c r="I17" i="5"/>
  <c r="J17" i="5"/>
  <c r="K17" i="5"/>
  <c r="L17" i="5"/>
  <c r="M17" i="5"/>
  <c r="N17" i="5"/>
  <c r="O17" i="5"/>
  <c r="P17" i="5" s="1"/>
  <c r="D18" i="5"/>
  <c r="E18" i="5"/>
  <c r="F18" i="5"/>
  <c r="G18" i="5"/>
  <c r="H18" i="5"/>
  <c r="I18" i="5"/>
  <c r="J18" i="5"/>
  <c r="K18" i="5"/>
  <c r="L18" i="5"/>
  <c r="M18" i="5"/>
  <c r="N18" i="5"/>
  <c r="O18" i="5"/>
  <c r="D19" i="5"/>
  <c r="E19" i="5"/>
  <c r="F19" i="5"/>
  <c r="G19" i="5"/>
  <c r="H19" i="5"/>
  <c r="I19" i="5"/>
  <c r="J19" i="5"/>
  <c r="K19" i="5"/>
  <c r="L19" i="5"/>
  <c r="M19" i="5"/>
  <c r="N19" i="5"/>
  <c r="O19" i="5"/>
  <c r="D20" i="5"/>
  <c r="E20" i="5"/>
  <c r="F20" i="5"/>
  <c r="G20" i="5"/>
  <c r="H20" i="5"/>
  <c r="I20" i="5"/>
  <c r="J20" i="5"/>
  <c r="K20" i="5"/>
  <c r="L20" i="5"/>
  <c r="M20" i="5"/>
  <c r="N20" i="5"/>
  <c r="O20" i="5"/>
  <c r="D21" i="5"/>
  <c r="E21" i="5"/>
  <c r="F21" i="5"/>
  <c r="G21" i="5"/>
  <c r="H21" i="5"/>
  <c r="I21" i="5"/>
  <c r="J21" i="5"/>
  <c r="K21" i="5"/>
  <c r="L21" i="5"/>
  <c r="M21" i="5"/>
  <c r="N21" i="5"/>
  <c r="O21" i="5"/>
  <c r="D22" i="5"/>
  <c r="E22" i="5"/>
  <c r="F22" i="5"/>
  <c r="G22" i="5"/>
  <c r="H22" i="5"/>
  <c r="I22" i="5"/>
  <c r="J22" i="5"/>
  <c r="K22" i="5"/>
  <c r="L22" i="5"/>
  <c r="M22" i="5"/>
  <c r="N22" i="5"/>
  <c r="O22" i="5"/>
  <c r="D23" i="5"/>
  <c r="E23" i="5"/>
  <c r="F23" i="5"/>
  <c r="G23" i="5"/>
  <c r="H23" i="5"/>
  <c r="I23" i="5"/>
  <c r="J23" i="5"/>
  <c r="K23" i="5"/>
  <c r="L23" i="5"/>
  <c r="M23" i="5"/>
  <c r="N23" i="5"/>
  <c r="O23" i="5"/>
  <c r="D24" i="5"/>
  <c r="E24" i="5"/>
  <c r="F24" i="5"/>
  <c r="G24" i="5"/>
  <c r="H24" i="5"/>
  <c r="I24" i="5"/>
  <c r="J24" i="5"/>
  <c r="K24" i="5"/>
  <c r="L24" i="5"/>
  <c r="M24" i="5"/>
  <c r="N24" i="5"/>
  <c r="O24" i="5"/>
  <c r="D25" i="5"/>
  <c r="E25" i="5"/>
  <c r="F25" i="5"/>
  <c r="G25" i="5"/>
  <c r="H25" i="5"/>
  <c r="I25" i="5"/>
  <c r="J25" i="5"/>
  <c r="K25" i="5"/>
  <c r="L25" i="5"/>
  <c r="M25" i="5"/>
  <c r="N25" i="5"/>
  <c r="O25" i="5"/>
  <c r="P25" i="5" s="1"/>
  <c r="D26" i="5"/>
  <c r="E26" i="5"/>
  <c r="F26" i="5"/>
  <c r="G26" i="5"/>
  <c r="H26" i="5"/>
  <c r="I26" i="5"/>
  <c r="J26" i="5"/>
  <c r="K26" i="5"/>
  <c r="L26" i="5"/>
  <c r="M26" i="5"/>
  <c r="N26" i="5"/>
  <c r="O26" i="5"/>
  <c r="D27" i="5"/>
  <c r="E27" i="5"/>
  <c r="F27" i="5"/>
  <c r="G27" i="5"/>
  <c r="H27" i="5"/>
  <c r="I27" i="5"/>
  <c r="J27" i="5"/>
  <c r="K27" i="5"/>
  <c r="L27" i="5"/>
  <c r="M27" i="5"/>
  <c r="N27" i="5"/>
  <c r="O27" i="5"/>
  <c r="B28" i="5"/>
  <c r="D28" i="5"/>
  <c r="E28" i="5"/>
  <c r="F28" i="5"/>
  <c r="G28" i="5"/>
  <c r="H28" i="5"/>
  <c r="I28" i="5"/>
  <c r="J28" i="5"/>
  <c r="K28" i="5"/>
  <c r="L28" i="5"/>
  <c r="M28" i="5"/>
  <c r="N28" i="5"/>
  <c r="O28" i="5"/>
  <c r="C29" i="5"/>
  <c r="D29" i="5"/>
  <c r="E29" i="5"/>
  <c r="F29" i="5"/>
  <c r="G29" i="5"/>
  <c r="H29" i="5"/>
  <c r="I29" i="5"/>
  <c r="J29" i="5"/>
  <c r="K29" i="5"/>
  <c r="L29" i="5"/>
  <c r="M29" i="5"/>
  <c r="N29" i="5"/>
  <c r="O29" i="5"/>
  <c r="D30" i="5"/>
  <c r="E30" i="5"/>
  <c r="F30" i="5"/>
  <c r="G30" i="5"/>
  <c r="H30" i="5"/>
  <c r="I30" i="5"/>
  <c r="J30" i="5"/>
  <c r="K30" i="5"/>
  <c r="L30" i="5"/>
  <c r="M30" i="5"/>
  <c r="N30" i="5"/>
  <c r="O30" i="5"/>
  <c r="P30" i="5" s="1"/>
  <c r="B31" i="5"/>
  <c r="D31" i="5"/>
  <c r="E31" i="5"/>
  <c r="F31" i="5"/>
  <c r="G31" i="5"/>
  <c r="H31" i="5"/>
  <c r="I31" i="5"/>
  <c r="J31" i="5"/>
  <c r="K31" i="5"/>
  <c r="L31" i="5"/>
  <c r="M31" i="5"/>
  <c r="N31" i="5"/>
  <c r="O31" i="5"/>
  <c r="D32" i="5"/>
  <c r="E32" i="5"/>
  <c r="F32" i="5"/>
  <c r="G32" i="5"/>
  <c r="H32" i="5"/>
  <c r="I32" i="5"/>
  <c r="J32" i="5"/>
  <c r="K32" i="5"/>
  <c r="L32" i="5"/>
  <c r="M32" i="5"/>
  <c r="N32" i="5"/>
  <c r="O32" i="5"/>
  <c r="A7" i="5"/>
  <c r="A8" i="5"/>
  <c r="A9" i="5"/>
  <c r="A10" i="5"/>
  <c r="A11" i="5"/>
  <c r="A12" i="5"/>
  <c r="A13" i="5"/>
  <c r="A14" i="5"/>
  <c r="A15" i="5"/>
  <c r="A16" i="5"/>
  <c r="A17" i="5"/>
  <c r="A18" i="5"/>
  <c r="A19" i="5"/>
  <c r="A20" i="5"/>
  <c r="A21" i="5"/>
  <c r="A22" i="5"/>
  <c r="A23" i="5"/>
  <c r="A24" i="5"/>
  <c r="A25" i="5"/>
  <c r="A26" i="5"/>
  <c r="A27" i="5"/>
  <c r="A28" i="5"/>
  <c r="A29" i="5"/>
  <c r="A30" i="5"/>
  <c r="A31" i="5"/>
  <c r="A32" i="5"/>
  <c r="A6" i="5"/>
  <c r="B3" i="5"/>
  <c r="C3" i="5"/>
  <c r="D3" i="5"/>
  <c r="E3" i="5"/>
  <c r="F3" i="5"/>
  <c r="G3" i="5"/>
  <c r="H3" i="5"/>
  <c r="I3" i="5"/>
  <c r="J3" i="5"/>
  <c r="K3" i="5"/>
  <c r="A3" i="5"/>
  <c r="P6" i="4"/>
  <c r="P7" i="4"/>
  <c r="P8" i="4"/>
  <c r="P9" i="4"/>
  <c r="P10" i="4"/>
  <c r="P11" i="4"/>
  <c r="P12" i="4"/>
  <c r="P13" i="4"/>
  <c r="P14" i="4"/>
  <c r="P32" i="4"/>
  <c r="C32" i="4"/>
  <c r="C32" i="5" s="1"/>
  <c r="B32" i="4"/>
  <c r="B32" i="5" s="1"/>
  <c r="P31" i="4"/>
  <c r="C31" i="4"/>
  <c r="C31" i="5" s="1"/>
  <c r="B31" i="4"/>
  <c r="P30" i="4"/>
  <c r="C30" i="4"/>
  <c r="C30" i="5" s="1"/>
  <c r="B30" i="4"/>
  <c r="B30" i="5" s="1"/>
  <c r="P29" i="4"/>
  <c r="C29" i="4"/>
  <c r="B29" i="4"/>
  <c r="B29" i="5" s="1"/>
  <c r="P28" i="4"/>
  <c r="C28" i="4"/>
  <c r="C28" i="5" s="1"/>
  <c r="B28" i="4"/>
  <c r="P27" i="4"/>
  <c r="C27" i="4"/>
  <c r="C27" i="5" s="1"/>
  <c r="B27" i="4"/>
  <c r="B27" i="5" s="1"/>
  <c r="P26" i="4"/>
  <c r="C26" i="4"/>
  <c r="C26" i="5" s="1"/>
  <c r="B26" i="4"/>
  <c r="B26" i="5" s="1"/>
  <c r="P25" i="4"/>
  <c r="C25" i="4"/>
  <c r="C25" i="5" s="1"/>
  <c r="B25" i="4"/>
  <c r="B25" i="5" s="1"/>
  <c r="P24" i="4"/>
  <c r="C24" i="4"/>
  <c r="C24" i="5" s="1"/>
  <c r="B24" i="4"/>
  <c r="B24" i="5" s="1"/>
  <c r="P23" i="4"/>
  <c r="C23" i="4"/>
  <c r="C23" i="5" s="1"/>
  <c r="B23" i="4"/>
  <c r="B23" i="5" s="1"/>
  <c r="P22" i="4"/>
  <c r="C22" i="4"/>
  <c r="C22" i="5" s="1"/>
  <c r="B22" i="4"/>
  <c r="B22" i="5" s="1"/>
  <c r="P21" i="4"/>
  <c r="C21" i="4"/>
  <c r="C21" i="5" s="1"/>
  <c r="B21" i="4"/>
  <c r="B21" i="5" s="1"/>
  <c r="P20" i="4"/>
  <c r="C20" i="4"/>
  <c r="C20" i="5" s="1"/>
  <c r="B20" i="4"/>
  <c r="B20" i="5" s="1"/>
  <c r="P19" i="4"/>
  <c r="C19" i="4"/>
  <c r="C19" i="5" s="1"/>
  <c r="B19" i="4"/>
  <c r="B19" i="5" s="1"/>
  <c r="P18" i="4"/>
  <c r="C18" i="4"/>
  <c r="C18" i="5" s="1"/>
  <c r="B18" i="4"/>
  <c r="B18" i="5" s="1"/>
  <c r="P17" i="4"/>
  <c r="C17" i="4"/>
  <c r="B17" i="4"/>
  <c r="B17" i="5" s="1"/>
  <c r="P16" i="4"/>
  <c r="C16" i="4"/>
  <c r="C16" i="5" s="1"/>
  <c r="B16" i="4"/>
  <c r="B16" i="5" s="1"/>
  <c r="P15" i="4"/>
  <c r="C15" i="4"/>
  <c r="C15" i="5" s="1"/>
  <c r="B15" i="4"/>
  <c r="B15" i="5" s="1"/>
  <c r="P16" i="5" l="1"/>
  <c r="P31" i="5"/>
  <c r="P21" i="5"/>
  <c r="P18" i="5"/>
  <c r="P24" i="5"/>
  <c r="P23" i="5"/>
  <c r="P13" i="5"/>
  <c r="P19" i="5"/>
  <c r="P14" i="5"/>
  <c r="P29" i="5"/>
  <c r="P15" i="5"/>
  <c r="P26" i="5"/>
  <c r="P10" i="5"/>
  <c r="P11" i="5"/>
  <c r="P32" i="5"/>
  <c r="P27" i="5"/>
  <c r="P22" i="5"/>
  <c r="P6" i="5"/>
  <c r="P28" i="5"/>
  <c r="P20" i="5"/>
  <c r="P12" i="5"/>
  <c r="P33" i="4"/>
  <c r="P33" i="5" l="1"/>
</calcChain>
</file>

<file path=xl/sharedStrings.xml><?xml version="1.0" encoding="utf-8"?>
<sst xmlns="http://schemas.openxmlformats.org/spreadsheetml/2006/main" count="111" uniqueCount="42">
  <si>
    <t>total weight (without motor) [kg]</t>
  </si>
  <si>
    <t>payload [kg]</t>
  </si>
  <si>
    <t>apogee [m]</t>
  </si>
  <si>
    <t>rail exit velocity [m/s]</t>
  </si>
  <si>
    <t>total weight (without prop.; with motor casing) [kg]</t>
  </si>
  <si>
    <t>OpenRocket</t>
  </si>
  <si>
    <t>RocketPy</t>
  </si>
  <si>
    <t>wind speed [m/s]</t>
  </si>
  <si>
    <t>thrust to weight ratio @ rail exit</t>
  </si>
  <si>
    <t>stability @ rail exit [cal]</t>
  </si>
  <si>
    <t>impact speed [m/s]</t>
  </si>
  <si>
    <t>Landing distance from launch rail [m]</t>
  </si>
  <si>
    <t>launch rail [m]</t>
  </si>
  <si>
    <t>min rail exit velocity [m/s]</t>
  </si>
  <si>
    <t>min stability @ rail exit [cal]</t>
  </si>
  <si>
    <t>max drift [m]</t>
  </si>
  <si>
    <t>max impact speed [m/s]</t>
  </si>
  <si>
    <t>inclination [°]</t>
  </si>
  <si>
    <t>Stability changes @ OpenRocket for varying wind speeds. This is correct. When the wind speed increases, so does the angle of attack. This causes the CP to move forward and thus decreases stability.</t>
  </si>
  <si>
    <t>Stability</t>
  </si>
  <si>
    <t>Since in RocketPy's computation of the CP the angle of attack is not considered, the stability does not change for varying wind speeds.</t>
  </si>
  <si>
    <t>Apogee</t>
  </si>
  <si>
    <t>Thrust to weight</t>
  </si>
  <si>
    <t>Comparison</t>
  </si>
  <si>
    <r>
      <t xml:space="preserve">Should be the same for both OpenRocket and RocketPy. It is interessting, that is not is </t>
    </r>
    <r>
      <rPr>
        <i/>
        <sz val="11"/>
        <color theme="1"/>
        <rFont val="Calibri"/>
        <family val="2"/>
      </rPr>
      <t>excatly</t>
    </r>
    <r>
      <rPr>
        <sz val="11"/>
        <color theme="1"/>
        <rFont val="Calibri"/>
        <family val="2"/>
      </rPr>
      <t xml:space="preserve"> the same.</t>
    </r>
  </si>
  <si>
    <t>Diff</t>
  </si>
  <si>
    <t>Average</t>
  </si>
  <si>
    <t>RocketPy predicts a higher apogee. (Average: 284 m more)</t>
  </si>
  <si>
    <t>max shock main [g]</t>
  </si>
  <si>
    <t>(or 29 g?)</t>
  </si>
  <si>
    <t>speed @ main deployment [m/s]</t>
  </si>
  <si>
    <t>shock @ main deployment [g]</t>
  </si>
  <si>
    <t>shock @ drogue deployment [g]</t>
  </si>
  <si>
    <t>max shock drogue [g]</t>
  </si>
  <si>
    <t>(without motor) Total CG of rocket from tip [mm]</t>
  </si>
  <si>
    <t>wind direction: 90° (coming from East, blowing North); launch rail direction: 180° (pointing North; average case)</t>
  </si>
  <si>
    <t>max speed @ main deployment [m/s]</t>
  </si>
  <si>
    <t>Constraints</t>
  </si>
  <si>
    <t>max instability in supersonic region [cal]</t>
  </si>
  <si>
    <t>main deployment height [m]</t>
  </si>
  <si>
    <t>Min</t>
  </si>
  <si>
    <t>Max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</si>
</sst>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"/>
  </numFmts>
  <fonts count="3" x14ac:knownFonts="1">
    <font>
      <sz val="11"/>
      <color theme="1"/>
      <name val="Calibri"/>
      <family val="2"/>
    </font>
    <font>
      <b/>
      <sz val="11"/>
      <color theme="1"/>
      <name val="Calibri"/>
      <family val="2"/>
    </font>
    <font>
      <i/>
      <sz val="11"/>
      <color theme="1"/>
      <name val="Calibri"/>
      <family val="2"/>
    </font>
  </fonts>
  <fills count="6">
    <fill>
      <patternFill patternType="none"/>
    </fill>
    <fill>
      <patternFill patternType="gray125"/>
    </fill>
    <fill>
      <patternFill patternType="solid">
        <fgColor theme="3" tint="0.89999084444715716"/>
        <bgColor indexed="64"/>
      </patternFill>
    </fill>
    <fill>
      <patternFill patternType="solid">
        <fgColor theme="3" tint="0.749992370372631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rgb="FFFFFF00"/>
        <bgColor indexed="64"/>
      </patternFill>
    </fill>
  </fills>
  <borders count="16">
    <border>
      <left/>
      <right/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/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</borders>
  <cellStyleXfs count="1">
    <xf numFmtId="0" fontId="0" fillId="0" borderId="0"/>
  </cellStyleXfs>
  <cellXfs count="64">
    <xf numFmtId="0" fontId="0" fillId="0" borderId="0" xfId="0"/>
    <xf numFmtId="0" fontId="0" fillId="0" borderId="4" xfId="0" applyBorder="1"/>
    <xf numFmtId="0" fontId="0" fillId="0" borderId="5" xfId="0" applyBorder="1"/>
    <xf numFmtId="0" fontId="1" fillId="2" borderId="6" xfId="0" applyFont="1" applyFill="1" applyBorder="1" applyAlignment="1">
      <alignment wrapText="1"/>
    </xf>
    <xf numFmtId="0" fontId="1" fillId="2" borderId="7" xfId="0" applyFont="1" applyFill="1" applyBorder="1" applyAlignment="1">
      <alignment wrapText="1"/>
    </xf>
    <xf numFmtId="0" fontId="1" fillId="2" borderId="8" xfId="0" applyFont="1" applyFill="1" applyBorder="1" applyAlignment="1">
      <alignment wrapText="1"/>
    </xf>
    <xf numFmtId="0" fontId="1" fillId="2" borderId="1" xfId="0" applyFont="1" applyFill="1" applyBorder="1" applyAlignment="1">
      <alignment wrapText="1"/>
    </xf>
    <xf numFmtId="0" fontId="0" fillId="0" borderId="9" xfId="0" applyBorder="1"/>
    <xf numFmtId="0" fontId="0" fillId="0" borderId="10" xfId="0" applyBorder="1"/>
    <xf numFmtId="0" fontId="1" fillId="0" borderId="4" xfId="0" applyFont="1" applyBorder="1"/>
    <xf numFmtId="0" fontId="0" fillId="0" borderId="11" xfId="0" applyBorder="1"/>
    <xf numFmtId="0" fontId="0" fillId="0" borderId="0" xfId="0" applyAlignment="1">
      <alignment wrapText="1"/>
    </xf>
    <xf numFmtId="1" fontId="0" fillId="0" borderId="0" xfId="0" applyNumberFormat="1"/>
    <xf numFmtId="2" fontId="0" fillId="0" borderId="2" xfId="0" applyNumberFormat="1" applyBorder="1"/>
    <xf numFmtId="2" fontId="0" fillId="0" borderId="4" xfId="0" applyNumberFormat="1" applyBorder="1"/>
    <xf numFmtId="1" fontId="0" fillId="0" borderId="2" xfId="0" applyNumberFormat="1" applyBorder="1"/>
    <xf numFmtId="1" fontId="0" fillId="0" borderId="4" xfId="0" applyNumberFormat="1" applyBorder="1"/>
    <xf numFmtId="0" fontId="1" fillId="2" borderId="0" xfId="0" applyFont="1" applyFill="1"/>
    <xf numFmtId="0" fontId="1" fillId="3" borderId="0" xfId="0" applyFont="1" applyFill="1"/>
    <xf numFmtId="1" fontId="0" fillId="0" borderId="5" xfId="0" applyNumberFormat="1" applyBorder="1"/>
    <xf numFmtId="0" fontId="0" fillId="0" borderId="12" xfId="0" applyBorder="1"/>
    <xf numFmtId="2" fontId="0" fillId="0" borderId="13" xfId="0" applyNumberFormat="1" applyBorder="1"/>
    <xf numFmtId="164" fontId="0" fillId="0" borderId="11" xfId="0" applyNumberFormat="1" applyBorder="1"/>
    <xf numFmtId="2" fontId="0" fillId="0" borderId="11" xfId="0" applyNumberFormat="1" applyBorder="1"/>
    <xf numFmtId="1" fontId="0" fillId="0" borderId="11" xfId="0" applyNumberFormat="1" applyBorder="1"/>
    <xf numFmtId="1" fontId="0" fillId="0" borderId="10" xfId="0" applyNumberFormat="1" applyBorder="1"/>
    <xf numFmtId="1" fontId="0" fillId="0" borderId="13" xfId="0" applyNumberFormat="1" applyBorder="1"/>
    <xf numFmtId="0" fontId="1" fillId="0" borderId="0" xfId="0" applyFont="1"/>
    <xf numFmtId="0" fontId="0" fillId="4" borderId="11" xfId="0" applyFill="1" applyBorder="1"/>
    <xf numFmtId="0" fontId="0" fillId="0" borderId="3" xfId="0" applyBorder="1"/>
    <xf numFmtId="0" fontId="0" fillId="0" borderId="14" xfId="0" applyBorder="1"/>
    <xf numFmtId="0" fontId="0" fillId="5" borderId="11" xfId="0" applyFill="1" applyBorder="1"/>
    <xf numFmtId="0" fontId="0" fillId="0" borderId="15" xfId="0" applyBorder="1"/>
    <xf numFmtId="0" fontId="1" fillId="0" borderId="2" xfId="0" applyFont="1" applyBorder="1" applyAlignment="1">
      <alignment wrapText="1"/>
    </xf>
    <xf numFmtId="0" fontId="1" fillId="0" borderId="14" xfId="0" applyFont="1" applyBorder="1" applyAlignment="1">
      <alignment wrapText="1"/>
    </xf>
    <xf numFmtId="0" fontId="0" fillId="0" borderId="14" xfId="0" applyBorder="1" applyAlignment="1">
      <alignment wrapText="1"/>
    </xf>
    <xf numFmtId="0" fontId="0" fillId="0" borderId="3" xfId="0" applyBorder="1" applyAlignment="1">
      <alignment wrapText="1"/>
    </xf>
    <xf numFmtId="0" fontId="0" fillId="4" borderId="13" xfId="0" applyFill="1" applyBorder="1"/>
    <xf numFmtId="164" fontId="0" fillId="0" borderId="14" xfId="0" applyNumberFormat="1" applyBorder="1"/>
    <xf numFmtId="2" fontId="0" fillId="0" borderId="14" xfId="0" applyNumberFormat="1" applyBorder="1"/>
    <xf numFmtId="1" fontId="0" fillId="0" borderId="14" xfId="0" applyNumberFormat="1" applyBorder="1"/>
    <xf numFmtId="1" fontId="0" fillId="0" borderId="3" xfId="0" applyNumberFormat="1" applyBorder="1"/>
    <xf numFmtId="164" fontId="0" fillId="0" borderId="0" xfId="0" applyNumberFormat="1"/>
    <xf numFmtId="2" fontId="0" fillId="0" borderId="0" xfId="0" applyNumberFormat="1"/>
    <xf numFmtId="0" fontId="1" fillId="0" borderId="0" xfId="0" applyFont="1" applyAlignment="1">
      <alignment wrapText="1"/>
    </xf>
    <xf numFmtId="0" fontId="1" fillId="0" borderId="11" xfId="0" applyFont="1" applyBorder="1" applyAlignment="1">
      <alignment wrapText="1"/>
    </xf>
    <xf numFmtId="2" fontId="0" fillId="0" borderId="3" xfId="0" applyNumberFormat="1" applyBorder="1"/>
    <xf numFmtId="2" fontId="0" fillId="0" borderId="5" xfId="0" applyNumberFormat="1" applyBorder="1"/>
    <xf numFmtId="2" fontId="0" fillId="0" borderId="10" xfId="0" applyNumberFormat="1" applyBorder="1"/>
    <xf numFmtId="0" fontId="1" fillId="3" borderId="6" xfId="0" applyFont="1" applyFill="1" applyBorder="1" applyAlignment="1">
      <alignment horizontal="center"/>
    </xf>
    <xf numFmtId="0" fontId="1" fillId="3" borderId="7" xfId="0" applyFont="1" applyFill="1" applyBorder="1" applyAlignment="1">
      <alignment horizontal="center"/>
    </xf>
    <xf numFmtId="0" fontId="1" fillId="3" borderId="8" xfId="0" applyFont="1" applyFill="1" applyBorder="1" applyAlignment="1">
      <alignment horizontal="center"/>
    </xf>
    <xf numFmtId="0" fontId="1" fillId="3" borderId="4" xfId="0" applyFont="1" applyFill="1" applyBorder="1" applyAlignment="1">
      <alignment horizontal="center" wrapText="1"/>
    </xf>
    <xf numFmtId="0" fontId="1" fillId="3" borderId="5" xfId="0" applyFont="1" applyFill="1" applyBorder="1" applyAlignment="1">
      <alignment horizontal="center" wrapText="1"/>
    </xf>
    <xf numFmtId="0" fontId="1" fillId="3" borderId="6" xfId="0" applyFont="1" applyFill="1" applyBorder="1" applyAlignment="1">
      <alignment horizontal="center" wrapText="1"/>
    </xf>
    <xf numFmtId="0" fontId="1" fillId="3" borderId="8" xfId="0" applyFont="1" applyFill="1" applyBorder="1" applyAlignment="1">
      <alignment horizontal="center" wrapText="1"/>
    </xf>
    <xf numFmtId="0" fontId="1" fillId="3" borderId="13" xfId="0" applyFont="1" applyFill="1" applyBorder="1" applyAlignment="1">
      <alignment horizontal="center" wrapText="1"/>
    </xf>
    <xf numFmtId="0" fontId="1" fillId="3" borderId="11" xfId="0" applyFont="1" applyFill="1" applyBorder="1" applyAlignment="1">
      <alignment horizontal="center" wrapText="1"/>
    </xf>
    <xf numFmtId="0" fontId="1" fillId="3" borderId="2" xfId="0" applyFont="1" applyFill="1" applyBorder="1" applyAlignment="1">
      <alignment horizontal="center"/>
    </xf>
    <xf numFmtId="0" fontId="1" fillId="3" borderId="3" xfId="0" applyFont="1" applyFill="1" applyBorder="1" applyAlignment="1">
      <alignment horizontal="center"/>
    </xf>
    <xf numFmtId="0" fontId="1" fillId="3" borderId="7" xfId="0" applyFont="1" applyFill="1" applyBorder="1" applyAlignment="1">
      <alignment horizontal="center" wrapText="1"/>
    </xf>
    <xf numFmtId="0" fontId="1" fillId="3" borderId="2" xfId="0" applyFont="1" applyFill="1" applyBorder="1" applyAlignment="1">
      <alignment horizontal="center" wrapText="1"/>
    </xf>
    <xf numFmtId="0" fontId="1" fillId="3" borderId="3" xfId="0" applyFont="1" applyFill="1" applyBorder="1" applyAlignment="1">
      <alignment horizontal="center" wrapText="1"/>
    </xf>
    <xf numFmtId="0" fontId="1" fillId="3" borderId="14" xfId="0" applyFont="1" applyFill="1" applyBorder="1" applyAlignment="1">
      <alignment horizontal="center" wrapText="1"/>
    </xf>
  </cellXfs>
  <cellStyles count="1">
    <cellStyle name="Normal" xfId="0" builtinId="0"/>
  </cellStyles>
  <dxfs count="17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0C9512A-EAE8-406B-A04C-903D83A4EFA2}">
  <dimension ref="A1:AD33"/>
  <sheetViews>
    <sheetView tabSelected="1" workbookViewId="0">
      <pane xSplit="1" ySplit="5" topLeftCell="B6" activePane="bottomRight" state="frozen"/>
      <selection pane="topRight" activeCell="B1" sqref="B1"/>
      <selection pane="bottomLeft" activeCell="A5" sqref="A5"/>
      <selection pane="bottomRight" activeCell="AD21" sqref="AD21"/>
    </sheetView>
  </sheetViews>
  <sheetFormatPr defaultRowHeight="15" x14ac:dyDescent="0.25"/>
  <cols>
    <col min="1" max="1" width="10.85546875" style="7" customWidth="1"/>
    <col min="2" max="2" width="15.42578125" style="7" customWidth="1"/>
    <col min="3" max="3" width="23.42578125" style="7" customWidth="1"/>
    <col min="4" max="4" width="23.42578125" customWidth="1"/>
    <col min="5" max="5" width="13.42578125" customWidth="1"/>
    <col min="6" max="6" width="11.7109375" style="1" customWidth="1"/>
    <col min="7" max="7" width="11.7109375" style="2" customWidth="1"/>
    <col min="8" max="8" width="11.7109375" style="1" customWidth="1"/>
    <col min="9" max="9" width="11.7109375" style="2" customWidth="1"/>
    <col min="10" max="10" width="11.7109375" style="1" customWidth="1"/>
    <col min="11" max="11" width="11.7109375" style="2" customWidth="1"/>
    <col min="12" max="13" width="11.7109375" customWidth="1"/>
    <col min="14" max="14" width="11.7109375" style="1" customWidth="1"/>
    <col min="15" max="15" width="11.7109375" customWidth="1"/>
    <col min="16" max="16" width="11.7109375" style="2" customWidth="1"/>
    <col min="17" max="17" width="11.7109375" customWidth="1"/>
    <col min="18" max="18" width="12.5703125" style="2" customWidth="1"/>
    <col min="19" max="19" width="11.7109375" style="1" customWidth="1"/>
    <col min="20" max="20" width="11.7109375" style="2" customWidth="1"/>
    <col min="21" max="21" width="8" customWidth="1"/>
    <col min="22" max="22" width="8.42578125" customWidth="1"/>
    <col min="23" max="26" width="11.7109375" customWidth="1"/>
    <col min="27" max="27" width="11.7109375" style="1" customWidth="1"/>
    <col min="28" max="28" width="11.7109375" style="2" customWidth="1"/>
  </cols>
  <sheetData>
    <row r="1" spans="1:30" ht="15.75" thickBot="1" x14ac:dyDescent="0.3">
      <c r="A1" s="49" t="s">
        <v>37</v>
      </c>
      <c r="B1" s="50"/>
      <c r="C1" s="50"/>
      <c r="D1" s="50"/>
      <c r="E1" s="50"/>
      <c r="F1" s="50"/>
      <c r="G1" s="50"/>
      <c r="H1" s="50"/>
      <c r="I1" s="50"/>
      <c r="J1" s="50"/>
      <c r="K1" s="50"/>
      <c r="L1" s="50"/>
      <c r="M1" s="50"/>
      <c r="N1" s="50"/>
      <c r="O1" s="51"/>
      <c r="P1"/>
      <c r="R1"/>
      <c r="S1"/>
      <c r="T1"/>
      <c r="AA1"/>
      <c r="AB1"/>
    </row>
    <row r="2" spans="1:30" s="11" customFormat="1" ht="60" x14ac:dyDescent="0.25">
      <c r="A2" s="33" t="s">
        <v>12</v>
      </c>
      <c r="B2" s="34" t="s">
        <v>17</v>
      </c>
      <c r="C2" s="34" t="s">
        <v>39</v>
      </c>
      <c r="D2" s="34" t="s">
        <v>14</v>
      </c>
      <c r="E2" s="34" t="s">
        <v>13</v>
      </c>
      <c r="F2" s="34" t="s">
        <v>15</v>
      </c>
      <c r="G2" s="34" t="s">
        <v>16</v>
      </c>
      <c r="H2" s="34" t="s">
        <v>33</v>
      </c>
      <c r="I2" s="34" t="s">
        <v>28</v>
      </c>
      <c r="J2" s="35"/>
      <c r="K2" s="34" t="s">
        <v>36</v>
      </c>
      <c r="L2" s="34"/>
      <c r="M2" s="34"/>
      <c r="N2" s="35"/>
      <c r="O2" s="36"/>
      <c r="P2" s="27" t="s">
        <v>35</v>
      </c>
      <c r="S2"/>
    </row>
    <row r="3" spans="1:30" ht="15.75" thickBot="1" x14ac:dyDescent="0.3">
      <c r="A3" s="37">
        <v>7</v>
      </c>
      <c r="B3" s="28">
        <v>2</v>
      </c>
      <c r="C3" s="31">
        <v>400</v>
      </c>
      <c r="D3" s="28">
        <v>1.59</v>
      </c>
      <c r="E3" s="28"/>
      <c r="F3" s="31">
        <v>1000</v>
      </c>
      <c r="G3" s="28">
        <v>7</v>
      </c>
      <c r="H3" s="31"/>
      <c r="I3" s="28">
        <v>15</v>
      </c>
      <c r="J3" s="31" t="s">
        <v>29</v>
      </c>
      <c r="K3" s="28">
        <v>25</v>
      </c>
      <c r="L3" s="10"/>
      <c r="M3" s="10"/>
      <c r="N3" s="10"/>
      <c r="O3" s="8"/>
      <c r="P3" s="10"/>
      <c r="Q3" s="10"/>
      <c r="R3" s="10"/>
      <c r="S3"/>
      <c r="T3"/>
      <c r="AA3" s="10"/>
      <c r="AB3"/>
    </row>
    <row r="4" spans="1:30" ht="30" customHeight="1" thickBot="1" x14ac:dyDescent="0.3">
      <c r="A4" s="9"/>
      <c r="B4" s="10"/>
      <c r="C4"/>
      <c r="E4" s="8"/>
      <c r="F4" s="52" t="s">
        <v>8</v>
      </c>
      <c r="G4" s="53"/>
      <c r="H4" s="52" t="s">
        <v>3</v>
      </c>
      <c r="I4" s="53"/>
      <c r="J4" s="52" t="s">
        <v>9</v>
      </c>
      <c r="K4" s="53"/>
      <c r="L4" s="52" t="s">
        <v>38</v>
      </c>
      <c r="M4" s="53"/>
      <c r="N4" s="56" t="s">
        <v>2</v>
      </c>
      <c r="O4" s="57"/>
      <c r="P4" s="55"/>
      <c r="Q4" s="58" t="s">
        <v>10</v>
      </c>
      <c r="R4" s="59"/>
      <c r="S4" s="61" t="s">
        <v>11</v>
      </c>
      <c r="T4" s="63"/>
      <c r="U4" s="63"/>
      <c r="V4" s="62"/>
      <c r="W4" s="54" t="s">
        <v>32</v>
      </c>
      <c r="X4" s="60"/>
      <c r="Y4" s="54" t="s">
        <v>31</v>
      </c>
      <c r="Z4" s="60"/>
      <c r="AA4" s="61" t="s">
        <v>30</v>
      </c>
      <c r="AB4" s="62"/>
    </row>
    <row r="5" spans="1:30" ht="45.75" thickBot="1" x14ac:dyDescent="0.3">
      <c r="A5" s="6" t="s">
        <v>1</v>
      </c>
      <c r="B5" s="6" t="s">
        <v>0</v>
      </c>
      <c r="C5" s="6" t="s">
        <v>4</v>
      </c>
      <c r="D5" s="6" t="s">
        <v>34</v>
      </c>
      <c r="E5" s="4" t="s">
        <v>7</v>
      </c>
      <c r="F5" s="3" t="s">
        <v>5</v>
      </c>
      <c r="G5" s="5" t="s">
        <v>6</v>
      </c>
      <c r="H5" s="3" t="s">
        <v>5</v>
      </c>
      <c r="I5" s="5" t="s">
        <v>6</v>
      </c>
      <c r="J5" s="3" t="s">
        <v>5</v>
      </c>
      <c r="K5" s="5" t="s">
        <v>6</v>
      </c>
      <c r="L5" s="3" t="s">
        <v>5</v>
      </c>
      <c r="M5" s="5" t="s">
        <v>6</v>
      </c>
      <c r="N5" s="3" t="s">
        <v>5</v>
      </c>
      <c r="O5" s="4" t="s">
        <v>6</v>
      </c>
      <c r="P5" s="5" t="s">
        <v>25</v>
      </c>
      <c r="Q5" s="4" t="s">
        <v>5</v>
      </c>
      <c r="R5" s="4" t="s">
        <v>6</v>
      </c>
      <c r="S5" s="3" t="s">
        <v>5</v>
      </c>
      <c r="T5" s="4" t="s">
        <v>6</v>
      </c>
      <c r="U5" s="4" t="s">
        <v>40</v>
      </c>
      <c r="V5" s="5" t="s">
        <v>41</v>
      </c>
      <c r="W5" s="4" t="s">
        <v>5</v>
      </c>
      <c r="X5" s="5" t="s">
        <v>6</v>
      </c>
      <c r="Y5" s="3" t="s">
        <v>5</v>
      </c>
      <c r="Z5" s="5" t="s">
        <v>6</v>
      </c>
      <c r="AA5" s="3" t="s">
        <v>5</v>
      </c>
      <c r="AB5" s="5" t="s">
        <v>6</v>
      </c>
    </row>
    <row r="6" spans="1:30" x14ac:dyDescent="0.25">
      <c r="A6" s="32">
        <v>0</v>
      </c>
      <c r="B6" s="32">
        <v>5.5839999999999996</v>
      </c>
      <c r="C6" s="32">
        <v>8.6920000000000002</v>
      </c>
      <c r="D6" s="32">
        <v>1100.768</v>
      </c>
      <c r="E6" s="32">
        <v>0</v>
      </c>
      <c r="F6" s="13">
        <v>20.388034009999998</v>
      </c>
      <c r="G6" s="29">
        <v>20.27</v>
      </c>
      <c r="H6" s="38">
        <v>48.869867370000001</v>
      </c>
      <c r="I6" s="29">
        <v>47.3</v>
      </c>
      <c r="J6" s="39">
        <v>0.80044556</v>
      </c>
      <c r="K6" s="29">
        <v>1.1000000000000001</v>
      </c>
      <c r="L6" s="13">
        <v>0.48057145899999998</v>
      </c>
      <c r="M6" s="29">
        <v>1.33</v>
      </c>
      <c r="N6" s="40">
        <v>6233.877023</v>
      </c>
      <c r="O6" s="30">
        <v>6592</v>
      </c>
      <c r="P6" s="41">
        <f>O6-N6</f>
        <v>358.12297699999999</v>
      </c>
      <c r="Q6" s="39">
        <v>4.536446507</v>
      </c>
      <c r="R6" s="30">
        <v>4.75</v>
      </c>
      <c r="S6" s="16">
        <v>371.45074949999997</v>
      </c>
      <c r="T6">
        <v>399</v>
      </c>
      <c r="U6" s="12">
        <f>MIN(S6:T14)</f>
        <v>371.45074949999997</v>
      </c>
      <c r="V6" s="19">
        <f>MAX(S6:T14)</f>
        <v>2224.0796350000001</v>
      </c>
      <c r="W6" s="39">
        <v>0.95231687899999995</v>
      </c>
      <c r="X6" s="30">
        <v>0.95</v>
      </c>
      <c r="Y6" s="13">
        <v>18.557616070000002</v>
      </c>
      <c r="Z6" s="46">
        <v>13</v>
      </c>
      <c r="AA6" s="13">
        <v>20.363083060000001</v>
      </c>
      <c r="AB6" s="46">
        <v>20.73</v>
      </c>
      <c r="AD6" s="12"/>
    </row>
    <row r="7" spans="1:30" x14ac:dyDescent="0.25">
      <c r="A7" s="7">
        <v>0</v>
      </c>
      <c r="B7" s="7">
        <v>5.5839999999999996</v>
      </c>
      <c r="C7" s="7">
        <v>8.6920000000000002</v>
      </c>
      <c r="D7" s="7">
        <v>1100.768</v>
      </c>
      <c r="E7" s="7">
        <v>1</v>
      </c>
      <c r="F7" s="14">
        <v>20.388034009999998</v>
      </c>
      <c r="G7" s="2">
        <v>20.27</v>
      </c>
      <c r="H7" s="42">
        <v>48.869335059999997</v>
      </c>
      <c r="I7" s="2">
        <v>47.3</v>
      </c>
      <c r="J7" s="43">
        <v>0.63000274999999994</v>
      </c>
      <c r="K7" s="2">
        <v>1.1000000000000001</v>
      </c>
      <c r="L7" s="14">
        <v>0.480926144</v>
      </c>
      <c r="M7" s="2">
        <v>1.34</v>
      </c>
      <c r="N7" s="12">
        <v>6233.297767</v>
      </c>
      <c r="O7">
        <v>6590</v>
      </c>
      <c r="P7" s="19">
        <f t="shared" ref="P7:P32" si="0">O7-N7</f>
        <v>356.70223299999998</v>
      </c>
      <c r="Q7" s="43">
        <v>4.6452706810000004</v>
      </c>
      <c r="R7">
        <v>4.75</v>
      </c>
      <c r="S7" s="16">
        <v>448.90126099999998</v>
      </c>
      <c r="T7">
        <v>453</v>
      </c>
      <c r="V7" s="2"/>
      <c r="W7" s="43">
        <v>0.95053066799999997</v>
      </c>
      <c r="X7">
        <v>0.95</v>
      </c>
      <c r="Y7" s="14">
        <v>18.557372740000002</v>
      </c>
      <c r="Z7" s="47">
        <v>13</v>
      </c>
      <c r="AA7" s="14">
        <v>20.387053810000001</v>
      </c>
      <c r="AB7" s="47">
        <v>20.75</v>
      </c>
      <c r="AD7" s="12"/>
    </row>
    <row r="8" spans="1:30" x14ac:dyDescent="0.25">
      <c r="A8" s="7">
        <v>0</v>
      </c>
      <c r="B8" s="7">
        <v>5.5839999999999996</v>
      </c>
      <c r="C8" s="7">
        <v>8.6920000000000002</v>
      </c>
      <c r="D8" s="7">
        <v>1100.768</v>
      </c>
      <c r="E8" s="7">
        <v>2</v>
      </c>
      <c r="F8" s="14">
        <v>20.388034009999998</v>
      </c>
      <c r="G8" s="2">
        <v>20.27</v>
      </c>
      <c r="H8" s="42">
        <v>48.868046020000001</v>
      </c>
      <c r="I8" s="2">
        <v>47.3</v>
      </c>
      <c r="J8" s="43">
        <v>0.47762326599999999</v>
      </c>
      <c r="K8" s="2">
        <v>1.1000000000000001</v>
      </c>
      <c r="L8" s="14">
        <v>0.48087331100000003</v>
      </c>
      <c r="M8" s="2">
        <v>1.34</v>
      </c>
      <c r="N8" s="12">
        <v>6231.5874249999997</v>
      </c>
      <c r="O8">
        <v>6587</v>
      </c>
      <c r="P8" s="19">
        <f t="shared" si="0"/>
        <v>355.41257500000029</v>
      </c>
      <c r="Q8" s="43">
        <v>4.9575934039999998</v>
      </c>
      <c r="R8">
        <v>4.75</v>
      </c>
      <c r="S8" s="16">
        <v>624.16609789999995</v>
      </c>
      <c r="T8">
        <v>583</v>
      </c>
      <c r="V8" s="2"/>
      <c r="W8" s="43">
        <v>0.94050986599999997</v>
      </c>
      <c r="X8">
        <v>0.95</v>
      </c>
      <c r="Y8" s="14">
        <v>18.557130350000001</v>
      </c>
      <c r="Z8" s="47">
        <v>13</v>
      </c>
      <c r="AA8" s="14">
        <v>20.460170479999999</v>
      </c>
      <c r="AB8" s="47">
        <v>20.81</v>
      </c>
      <c r="AD8" s="12"/>
    </row>
    <row r="9" spans="1:30" x14ac:dyDescent="0.25">
      <c r="A9" s="7">
        <v>0</v>
      </c>
      <c r="B9" s="7">
        <v>5.5839999999999996</v>
      </c>
      <c r="C9" s="7">
        <v>8.6920000000000002</v>
      </c>
      <c r="D9" s="7">
        <v>1100.768</v>
      </c>
      <c r="E9" s="7">
        <v>3</v>
      </c>
      <c r="F9" s="14">
        <v>20.388034009999998</v>
      </c>
      <c r="G9" s="2">
        <v>20.27</v>
      </c>
      <c r="H9" s="42">
        <v>48.866298819999997</v>
      </c>
      <c r="I9" s="2">
        <v>47.3</v>
      </c>
      <c r="J9" s="43">
        <v>0.34244151299999998</v>
      </c>
      <c r="K9" s="2">
        <v>1.1000000000000001</v>
      </c>
      <c r="L9" s="14">
        <v>0.48105773600000001</v>
      </c>
      <c r="M9" s="2">
        <v>1.33</v>
      </c>
      <c r="N9" s="12">
        <v>6229.1070900000004</v>
      </c>
      <c r="O9">
        <v>6579</v>
      </c>
      <c r="P9" s="19">
        <f t="shared" si="0"/>
        <v>349.89290999999957</v>
      </c>
      <c r="Q9" s="43">
        <v>5.4384671769999997</v>
      </c>
      <c r="R9">
        <v>4.75</v>
      </c>
      <c r="S9" s="16">
        <v>845.3757488</v>
      </c>
      <c r="T9">
        <v>701</v>
      </c>
      <c r="V9" s="2"/>
      <c r="W9" s="43">
        <v>0.92472299999999996</v>
      </c>
      <c r="X9">
        <v>0.95</v>
      </c>
      <c r="Y9" s="14">
        <v>18.5568904</v>
      </c>
      <c r="Z9" s="47">
        <v>13</v>
      </c>
      <c r="AA9" s="14">
        <v>20.582285240000001</v>
      </c>
      <c r="AB9" s="47">
        <v>20.94</v>
      </c>
      <c r="AD9" s="12"/>
    </row>
    <row r="10" spans="1:30" x14ac:dyDescent="0.25">
      <c r="A10" s="7">
        <v>0</v>
      </c>
      <c r="B10" s="7">
        <v>5.5839999999999996</v>
      </c>
      <c r="C10" s="7">
        <v>8.6920000000000002</v>
      </c>
      <c r="D10" s="7">
        <v>1100.768</v>
      </c>
      <c r="E10" s="7">
        <v>4</v>
      </c>
      <c r="F10" s="14">
        <v>20.388034009999998</v>
      </c>
      <c r="G10" s="2">
        <v>20.27</v>
      </c>
      <c r="H10" s="42">
        <v>48.864307539999999</v>
      </c>
      <c r="I10" s="2">
        <v>47.3</v>
      </c>
      <c r="J10" s="43">
        <v>0.22207626999999999</v>
      </c>
      <c r="K10" s="2">
        <v>1.1000000000000001</v>
      </c>
      <c r="L10" s="14">
        <v>0.480957737</v>
      </c>
      <c r="M10" s="2">
        <v>1.33</v>
      </c>
      <c r="N10" s="12">
        <v>6226.0387190000001</v>
      </c>
      <c r="O10">
        <v>6571</v>
      </c>
      <c r="P10" s="19">
        <f t="shared" si="0"/>
        <v>344.96128099999987</v>
      </c>
      <c r="Q10" s="43">
        <v>6.0478192719999999</v>
      </c>
      <c r="R10">
        <v>4.75</v>
      </c>
      <c r="S10" s="16">
        <v>1091.7671150000001</v>
      </c>
      <c r="T10">
        <v>893</v>
      </c>
      <c r="V10" s="2"/>
      <c r="W10" s="43">
        <v>0.90456346899999995</v>
      </c>
      <c r="X10">
        <v>0.95</v>
      </c>
      <c r="Y10" s="14">
        <v>18.55665179</v>
      </c>
      <c r="Z10" s="47">
        <v>13</v>
      </c>
      <c r="AA10" s="14">
        <v>20.752263280000001</v>
      </c>
      <c r="AB10" s="47">
        <v>21.06</v>
      </c>
      <c r="AD10" s="12"/>
    </row>
    <row r="11" spans="1:30" x14ac:dyDescent="0.25">
      <c r="A11" s="7">
        <v>0</v>
      </c>
      <c r="B11" s="7">
        <v>5.5839999999999996</v>
      </c>
      <c r="C11" s="7">
        <v>8.6920000000000002</v>
      </c>
      <c r="D11" s="7">
        <v>1100.768</v>
      </c>
      <c r="E11" s="7">
        <v>5</v>
      </c>
      <c r="F11" s="14">
        <v>20.388034009999998</v>
      </c>
      <c r="G11" s="2">
        <v>20.27</v>
      </c>
      <c r="H11" s="42">
        <v>48.862230660000002</v>
      </c>
      <c r="I11" s="2">
        <v>47.3</v>
      </c>
      <c r="J11" s="43">
        <v>0.11444939899999999</v>
      </c>
      <c r="K11" s="2">
        <v>1.1000000000000001</v>
      </c>
      <c r="L11" s="14">
        <v>0.48090359900000001</v>
      </c>
      <c r="M11" s="2">
        <v>1.33</v>
      </c>
      <c r="N11" s="12">
        <v>6222.7352279999996</v>
      </c>
      <c r="O11">
        <v>6557</v>
      </c>
      <c r="P11" s="19">
        <f t="shared" si="0"/>
        <v>334.26477200000045</v>
      </c>
      <c r="Q11" s="43">
        <v>6.7509488470000001</v>
      </c>
      <c r="R11">
        <v>4.75</v>
      </c>
      <c r="S11" s="16">
        <v>1350.7503830000001</v>
      </c>
      <c r="T11">
        <v>1042</v>
      </c>
      <c r="V11" s="2"/>
      <c r="W11" s="43">
        <v>0.89148665500000002</v>
      </c>
      <c r="X11">
        <v>0.96</v>
      </c>
      <c r="Y11" s="14">
        <v>18.556390780000001</v>
      </c>
      <c r="Z11" s="47">
        <v>13.01</v>
      </c>
      <c r="AA11" s="14">
        <v>20.963044109999998</v>
      </c>
      <c r="AB11" s="47">
        <v>21.34</v>
      </c>
      <c r="AD11" s="12"/>
    </row>
    <row r="12" spans="1:30" x14ac:dyDescent="0.25">
      <c r="A12" s="7">
        <v>0</v>
      </c>
      <c r="B12" s="7">
        <v>5.5839999999999996</v>
      </c>
      <c r="C12" s="7">
        <v>8.6920000000000002</v>
      </c>
      <c r="D12" s="7">
        <v>1100.768</v>
      </c>
      <c r="E12" s="7">
        <v>6</v>
      </c>
      <c r="F12" s="14">
        <v>20.388034009999998</v>
      </c>
      <c r="G12" s="2">
        <v>20.27</v>
      </c>
      <c r="H12" s="42">
        <v>48.860186859999999</v>
      </c>
      <c r="I12" s="2">
        <v>47.3</v>
      </c>
      <c r="J12" s="43">
        <v>1.7840444E-2</v>
      </c>
      <c r="K12" s="2">
        <v>1.1000000000000001</v>
      </c>
      <c r="L12" s="14">
        <v>0.48094787</v>
      </c>
      <c r="M12" s="2">
        <v>1.33</v>
      </c>
      <c r="N12" s="12">
        <v>6219.4405980000001</v>
      </c>
      <c r="O12">
        <v>6551</v>
      </c>
      <c r="P12" s="19">
        <f t="shared" si="0"/>
        <v>331.55940199999986</v>
      </c>
      <c r="Q12" s="43">
        <v>7.521602433</v>
      </c>
      <c r="R12">
        <v>4.75</v>
      </c>
      <c r="S12" s="16">
        <v>1627.433192</v>
      </c>
      <c r="T12">
        <v>1270</v>
      </c>
      <c r="V12" s="2"/>
      <c r="W12" s="43">
        <v>0.87334481799999997</v>
      </c>
      <c r="X12">
        <v>0.97</v>
      </c>
      <c r="Y12" s="14">
        <v>18.556151580000002</v>
      </c>
      <c r="Z12" s="47">
        <v>13.01</v>
      </c>
      <c r="AA12" s="14">
        <v>21.224256860000001</v>
      </c>
      <c r="AB12" s="47">
        <v>21.6</v>
      </c>
      <c r="AD12" s="12"/>
    </row>
    <row r="13" spans="1:30" x14ac:dyDescent="0.25">
      <c r="A13" s="7">
        <v>0</v>
      </c>
      <c r="B13" s="7">
        <v>5.5839999999999996</v>
      </c>
      <c r="C13" s="7">
        <v>8.6920000000000002</v>
      </c>
      <c r="D13" s="7">
        <v>1100.768</v>
      </c>
      <c r="E13" s="7">
        <v>7</v>
      </c>
      <c r="F13" s="14">
        <v>20.388034009999998</v>
      </c>
      <c r="G13" s="2">
        <v>20.27</v>
      </c>
      <c r="H13" s="42">
        <v>48.858264140000003</v>
      </c>
      <c r="I13" s="2">
        <v>47.3</v>
      </c>
      <c r="J13" s="43">
        <v>-6.9159519000000003E-2</v>
      </c>
      <c r="K13" s="2">
        <v>1.1000000000000001</v>
      </c>
      <c r="L13" s="14">
        <v>0.48017868400000002</v>
      </c>
      <c r="M13" s="2">
        <v>1.33</v>
      </c>
      <c r="N13" s="12">
        <v>6216.4995330000002</v>
      </c>
      <c r="O13">
        <v>6536</v>
      </c>
      <c r="P13" s="19">
        <f t="shared" si="0"/>
        <v>319.50046699999984</v>
      </c>
      <c r="Q13" s="43">
        <v>8.3410848200000007</v>
      </c>
      <c r="R13">
        <v>4.75</v>
      </c>
      <c r="S13" s="16">
        <v>1918.4866529999999</v>
      </c>
      <c r="T13">
        <v>1579</v>
      </c>
      <c r="V13" s="2"/>
      <c r="W13" s="43">
        <v>0.86019313600000002</v>
      </c>
      <c r="X13">
        <v>0.98</v>
      </c>
      <c r="Y13" s="14">
        <v>18.555912459999998</v>
      </c>
      <c r="Z13" s="47">
        <v>13.01</v>
      </c>
      <c r="AA13" s="14">
        <v>21.528809989999999</v>
      </c>
      <c r="AB13" s="47">
        <v>22.43</v>
      </c>
      <c r="AD13" s="12"/>
    </row>
    <row r="14" spans="1:30" x14ac:dyDescent="0.25">
      <c r="A14" s="7">
        <v>0</v>
      </c>
      <c r="B14" s="7">
        <v>5.5839999999999996</v>
      </c>
      <c r="C14" s="7">
        <v>8.6920000000000002</v>
      </c>
      <c r="D14" s="7">
        <v>1100.768</v>
      </c>
      <c r="E14" s="7">
        <v>8</v>
      </c>
      <c r="F14" s="14">
        <v>20.388034009999998</v>
      </c>
      <c r="G14" s="2">
        <v>20.27</v>
      </c>
      <c r="H14" s="42">
        <v>48.856524190000002</v>
      </c>
      <c r="I14" s="2">
        <v>47.3</v>
      </c>
      <c r="J14" s="43">
        <v>-0.14773077700000001</v>
      </c>
      <c r="K14" s="2">
        <v>1.1000000000000001</v>
      </c>
      <c r="L14" s="14">
        <v>0.47964391200000001</v>
      </c>
      <c r="M14" s="2">
        <v>1.33</v>
      </c>
      <c r="N14" s="12">
        <v>6214.1530720000001</v>
      </c>
      <c r="O14">
        <v>6496</v>
      </c>
      <c r="P14" s="19">
        <f t="shared" si="0"/>
        <v>281.84692799999993</v>
      </c>
      <c r="Q14" s="43">
        <v>9.1963519169999994</v>
      </c>
      <c r="R14">
        <v>4.75</v>
      </c>
      <c r="S14" s="16">
        <v>2224.0796350000001</v>
      </c>
      <c r="T14">
        <v>1634</v>
      </c>
      <c r="V14" s="2"/>
      <c r="W14" s="43">
        <v>0.86022284999999998</v>
      </c>
      <c r="X14">
        <v>1.1399999999999999</v>
      </c>
      <c r="Y14" s="14">
        <v>18.5556707</v>
      </c>
      <c r="Z14" s="47">
        <v>13.02</v>
      </c>
      <c r="AA14" s="14">
        <v>21.87424957</v>
      </c>
      <c r="AB14" s="47">
        <v>22.45</v>
      </c>
      <c r="AD14" s="12"/>
    </row>
    <row r="15" spans="1:30" x14ac:dyDescent="0.25">
      <c r="A15" s="7">
        <v>2</v>
      </c>
      <c r="B15" s="7">
        <f t="shared" ref="B15:B32" si="1">$B$6+A15</f>
        <v>7.5839999999999996</v>
      </c>
      <c r="C15" s="7">
        <f t="shared" ref="C15:C32" si="2">$C$6+A15</f>
        <v>10.692</v>
      </c>
      <c r="D15" s="7">
        <v>893.20799999999997</v>
      </c>
      <c r="E15" s="7">
        <v>0</v>
      </c>
      <c r="F15" s="14">
        <v>17.81111997</v>
      </c>
      <c r="G15" s="2">
        <v>17.71</v>
      </c>
      <c r="H15" s="42">
        <v>45.537066209999999</v>
      </c>
      <c r="I15" s="2">
        <v>44</v>
      </c>
      <c r="J15" s="43">
        <v>1.941008657</v>
      </c>
      <c r="K15" s="2">
        <v>2.2400000000000002</v>
      </c>
      <c r="L15" s="14">
        <v>2.6635302620000001</v>
      </c>
      <c r="M15" s="2">
        <v>3.09</v>
      </c>
      <c r="N15" s="12">
        <v>6109.7361849999998</v>
      </c>
      <c r="O15">
        <v>6419</v>
      </c>
      <c r="P15" s="19">
        <f t="shared" si="0"/>
        <v>309.26381500000025</v>
      </c>
      <c r="Q15" s="43">
        <v>5.0444775169999998</v>
      </c>
      <c r="R15">
        <v>5.26</v>
      </c>
      <c r="S15" s="16">
        <v>390.02057939999997</v>
      </c>
      <c r="T15">
        <v>418</v>
      </c>
      <c r="U15" s="12">
        <f>MIN(S15:T23)</f>
        <v>390.02057939999997</v>
      </c>
      <c r="V15" s="19">
        <f>MAX(S15:T23)</f>
        <v>1532.131764</v>
      </c>
      <c r="W15" s="43">
        <v>0.94365202999999998</v>
      </c>
      <c r="X15">
        <v>0.96</v>
      </c>
      <c r="Y15" s="14">
        <v>18.567092420000002</v>
      </c>
      <c r="Z15" s="47">
        <v>13.65</v>
      </c>
      <c r="AA15" s="14">
        <v>22.630597569999999</v>
      </c>
      <c r="AB15" s="47">
        <v>22.99</v>
      </c>
      <c r="AD15" s="12"/>
    </row>
    <row r="16" spans="1:30" x14ac:dyDescent="0.25">
      <c r="A16" s="7">
        <v>2</v>
      </c>
      <c r="B16" s="7">
        <f t="shared" si="1"/>
        <v>7.5839999999999996</v>
      </c>
      <c r="C16" s="7">
        <f t="shared" si="2"/>
        <v>10.692</v>
      </c>
      <c r="D16" s="7">
        <v>893.20799999999997</v>
      </c>
      <c r="E16" s="7">
        <v>1</v>
      </c>
      <c r="F16" s="14">
        <v>17.81111997</v>
      </c>
      <c r="G16" s="2">
        <v>17.71</v>
      </c>
      <c r="H16" s="42">
        <v>45.536568449999997</v>
      </c>
      <c r="I16" s="2">
        <v>44</v>
      </c>
      <c r="J16" s="43">
        <v>1.7589557199999999</v>
      </c>
      <c r="K16" s="2">
        <v>2.2400000000000002</v>
      </c>
      <c r="L16" s="14">
        <v>2.6635607910000001</v>
      </c>
      <c r="M16" s="2">
        <v>3.1</v>
      </c>
      <c r="N16" s="12">
        <v>6108.7808409999998</v>
      </c>
      <c r="O16">
        <v>6418</v>
      </c>
      <c r="P16" s="19">
        <f t="shared" si="0"/>
        <v>309.21915900000022</v>
      </c>
      <c r="Q16" s="43">
        <v>5.142543657</v>
      </c>
      <c r="R16">
        <v>5.26</v>
      </c>
      <c r="S16" s="16">
        <v>433.49652809999998</v>
      </c>
      <c r="T16">
        <v>445</v>
      </c>
      <c r="V16" s="2"/>
      <c r="W16" s="43">
        <v>0.93991376199999999</v>
      </c>
      <c r="X16">
        <v>0.96</v>
      </c>
      <c r="Y16" s="14">
        <v>18.566848799999999</v>
      </c>
      <c r="Z16" s="47">
        <v>13.65</v>
      </c>
      <c r="AA16" s="14">
        <v>22.652088979999998</v>
      </c>
      <c r="AB16" s="47">
        <v>23</v>
      </c>
      <c r="AD16" s="12"/>
    </row>
    <row r="17" spans="1:30" x14ac:dyDescent="0.25">
      <c r="A17" s="7">
        <v>2</v>
      </c>
      <c r="B17" s="7">
        <f t="shared" si="1"/>
        <v>7.5839999999999996</v>
      </c>
      <c r="C17" s="7">
        <f t="shared" si="2"/>
        <v>10.692</v>
      </c>
      <c r="D17" s="7">
        <v>893.20799999999997</v>
      </c>
      <c r="E17" s="7">
        <v>2</v>
      </c>
      <c r="F17" s="14">
        <v>17.81111997</v>
      </c>
      <c r="G17" s="2">
        <v>17.71</v>
      </c>
      <c r="H17" s="42">
        <v>45.535376650000003</v>
      </c>
      <c r="I17" s="2">
        <v>44</v>
      </c>
      <c r="J17" s="43">
        <v>1.5975929099999999</v>
      </c>
      <c r="K17" s="2">
        <v>2.2400000000000002</v>
      </c>
      <c r="L17" s="14">
        <v>2.6635431679999999</v>
      </c>
      <c r="M17" s="2">
        <v>3.09</v>
      </c>
      <c r="N17" s="12">
        <v>6106.0165450000004</v>
      </c>
      <c r="O17">
        <v>6414</v>
      </c>
      <c r="P17" s="19">
        <f t="shared" si="0"/>
        <v>307.98345499999959</v>
      </c>
      <c r="Q17" s="43">
        <v>5.4263023849999996</v>
      </c>
      <c r="R17">
        <v>5.26</v>
      </c>
      <c r="S17" s="16">
        <v>536.6500072</v>
      </c>
      <c r="T17">
        <v>516</v>
      </c>
      <c r="V17" s="2"/>
      <c r="W17" s="43">
        <v>0.92766001200000003</v>
      </c>
      <c r="X17">
        <v>0.96</v>
      </c>
      <c r="Y17" s="14">
        <v>18.566608259999999</v>
      </c>
      <c r="Z17" s="47">
        <v>13.65</v>
      </c>
      <c r="AA17" s="14">
        <v>22.71817167</v>
      </c>
      <c r="AB17" s="47">
        <v>23.06</v>
      </c>
      <c r="AD17" s="12"/>
    </row>
    <row r="18" spans="1:30" x14ac:dyDescent="0.25">
      <c r="A18" s="7">
        <v>2</v>
      </c>
      <c r="B18" s="7">
        <f t="shared" si="1"/>
        <v>7.5839999999999996</v>
      </c>
      <c r="C18" s="7">
        <f t="shared" si="2"/>
        <v>10.692</v>
      </c>
      <c r="D18" s="7">
        <v>893.20799999999997</v>
      </c>
      <c r="E18" s="7">
        <v>3</v>
      </c>
      <c r="F18" s="14">
        <v>17.81111997</v>
      </c>
      <c r="G18" s="2">
        <v>17.71</v>
      </c>
      <c r="H18" s="42">
        <v>45.533785770000001</v>
      </c>
      <c r="I18" s="2">
        <v>44</v>
      </c>
      <c r="J18" s="43">
        <v>1.4556459429999999</v>
      </c>
      <c r="K18" s="2">
        <v>2.2400000000000002</v>
      </c>
      <c r="L18" s="14">
        <v>2.6634473509999999</v>
      </c>
      <c r="M18" s="2">
        <v>3.1</v>
      </c>
      <c r="N18" s="12">
        <v>6101.536169</v>
      </c>
      <c r="O18">
        <v>6403</v>
      </c>
      <c r="P18" s="19">
        <f t="shared" si="0"/>
        <v>301.46383100000003</v>
      </c>
      <c r="Q18" s="43">
        <v>5.8688805789999998</v>
      </c>
      <c r="R18">
        <v>5.26</v>
      </c>
      <c r="S18" s="16">
        <v>674.66659509999999</v>
      </c>
      <c r="T18">
        <v>567</v>
      </c>
      <c r="V18" s="2"/>
      <c r="W18" s="43">
        <v>0.91907681500000005</v>
      </c>
      <c r="X18">
        <v>0.97</v>
      </c>
      <c r="Y18" s="14">
        <v>18.566374719999999</v>
      </c>
      <c r="Z18" s="47">
        <v>13.65</v>
      </c>
      <c r="AA18" s="14">
        <v>22.829154200000001</v>
      </c>
      <c r="AB18" s="47">
        <v>23.18</v>
      </c>
      <c r="AD18" s="12"/>
    </row>
    <row r="19" spans="1:30" x14ac:dyDescent="0.25">
      <c r="A19" s="7">
        <v>2</v>
      </c>
      <c r="B19" s="7">
        <f t="shared" si="1"/>
        <v>7.5839999999999996</v>
      </c>
      <c r="C19" s="7">
        <f t="shared" si="2"/>
        <v>10.692</v>
      </c>
      <c r="D19" s="7">
        <v>893.20799999999997</v>
      </c>
      <c r="E19" s="7">
        <v>4</v>
      </c>
      <c r="F19" s="14">
        <v>17.81111997</v>
      </c>
      <c r="G19" s="2">
        <v>17.71</v>
      </c>
      <c r="H19" s="42">
        <v>45.532001540000003</v>
      </c>
      <c r="I19" s="2">
        <v>44</v>
      </c>
      <c r="J19" s="43">
        <v>1.3301655809999999</v>
      </c>
      <c r="K19" s="2">
        <v>2.2400000000000002</v>
      </c>
      <c r="L19" s="14">
        <v>2.6628074590000002</v>
      </c>
      <c r="M19" s="2">
        <v>3.1</v>
      </c>
      <c r="N19" s="12">
        <v>6095.404117</v>
      </c>
      <c r="O19">
        <v>6394</v>
      </c>
      <c r="P19" s="19">
        <f t="shared" si="0"/>
        <v>298.59588299999996</v>
      </c>
      <c r="Q19" s="43">
        <v>6.4376051959999998</v>
      </c>
      <c r="R19">
        <v>5.26</v>
      </c>
      <c r="S19" s="16">
        <v>830.2871715</v>
      </c>
      <c r="T19">
        <v>691</v>
      </c>
      <c r="V19" s="2"/>
      <c r="W19" s="43">
        <v>0.913791664</v>
      </c>
      <c r="X19">
        <v>0.98</v>
      </c>
      <c r="Y19" s="14">
        <v>18.566127210000001</v>
      </c>
      <c r="Z19" s="47">
        <v>13.65</v>
      </c>
      <c r="AA19" s="14">
        <v>22.980685179999998</v>
      </c>
      <c r="AB19" s="47">
        <v>23.29</v>
      </c>
      <c r="AD19" s="12"/>
    </row>
    <row r="20" spans="1:30" x14ac:dyDescent="0.25">
      <c r="A20" s="7">
        <v>2</v>
      </c>
      <c r="B20" s="7">
        <f t="shared" si="1"/>
        <v>7.5839999999999996</v>
      </c>
      <c r="C20" s="7">
        <f t="shared" si="2"/>
        <v>10.692</v>
      </c>
      <c r="D20" s="7">
        <v>893.20799999999997</v>
      </c>
      <c r="E20" s="7">
        <v>5</v>
      </c>
      <c r="F20" s="14">
        <v>17.81111997</v>
      </c>
      <c r="G20" s="2">
        <v>17.71</v>
      </c>
      <c r="H20" s="42">
        <v>45.530174780000003</v>
      </c>
      <c r="I20" s="2">
        <v>44</v>
      </c>
      <c r="J20" s="43">
        <v>1.218732098</v>
      </c>
      <c r="K20" s="2">
        <v>2.2400000000000002</v>
      </c>
      <c r="L20" s="14">
        <v>2.6627069329999999</v>
      </c>
      <c r="M20" s="2">
        <v>3.09</v>
      </c>
      <c r="N20" s="12">
        <v>6087.7073209999999</v>
      </c>
      <c r="O20">
        <v>6376</v>
      </c>
      <c r="P20" s="19">
        <f t="shared" si="0"/>
        <v>288.29267900000013</v>
      </c>
      <c r="Q20" s="43">
        <v>7.1022364400000004</v>
      </c>
      <c r="R20">
        <v>5.26</v>
      </c>
      <c r="S20" s="16">
        <v>999.36552710000001</v>
      </c>
      <c r="T20">
        <v>774</v>
      </c>
      <c r="V20" s="2"/>
      <c r="W20" s="43">
        <v>0.94522883000000002</v>
      </c>
      <c r="X20">
        <v>0.99</v>
      </c>
      <c r="Y20" s="14">
        <v>18.565900589999998</v>
      </c>
      <c r="Z20" s="47">
        <v>13.65</v>
      </c>
      <c r="AA20" s="14">
        <v>23.178068140000001</v>
      </c>
      <c r="AB20" s="47">
        <v>23.54</v>
      </c>
      <c r="AD20" s="12"/>
    </row>
    <row r="21" spans="1:30" x14ac:dyDescent="0.25">
      <c r="A21" s="7">
        <v>2</v>
      </c>
      <c r="B21" s="7">
        <f t="shared" si="1"/>
        <v>7.5839999999999996</v>
      </c>
      <c r="C21" s="7">
        <f t="shared" si="2"/>
        <v>10.692</v>
      </c>
      <c r="D21" s="7">
        <v>893.20799999999997</v>
      </c>
      <c r="E21" s="7">
        <v>6</v>
      </c>
      <c r="F21" s="14">
        <v>17.811119959999999</v>
      </c>
      <c r="G21" s="2">
        <v>17.71</v>
      </c>
      <c r="H21" s="42">
        <v>45.528414920000003</v>
      </c>
      <c r="I21" s="2">
        <v>44</v>
      </c>
      <c r="J21" s="43">
        <v>1.1193481000000001</v>
      </c>
      <c r="K21" s="2">
        <v>2.2400000000000002</v>
      </c>
      <c r="L21" s="14">
        <v>2.6628248050000001</v>
      </c>
      <c r="M21" s="2">
        <v>3.09</v>
      </c>
      <c r="N21" s="12">
        <v>6078.5571319999999</v>
      </c>
      <c r="O21">
        <v>6369</v>
      </c>
      <c r="P21" s="19">
        <f t="shared" si="0"/>
        <v>290.44286800000009</v>
      </c>
      <c r="Q21" s="43">
        <v>7.8384159029999996</v>
      </c>
      <c r="R21">
        <v>5.26</v>
      </c>
      <c r="S21" s="16">
        <v>1172.443777</v>
      </c>
      <c r="T21">
        <v>950</v>
      </c>
      <c r="V21" s="2"/>
      <c r="W21" s="43">
        <v>0.96725370700000002</v>
      </c>
      <c r="X21">
        <v>0.99</v>
      </c>
      <c r="Y21" s="14">
        <v>18.565644039999999</v>
      </c>
      <c r="Z21" s="47">
        <v>13.65</v>
      </c>
      <c r="AA21" s="14">
        <v>23.411346080000001</v>
      </c>
      <c r="AB21" s="47">
        <v>23.77</v>
      </c>
      <c r="AD21" s="12"/>
    </row>
    <row r="22" spans="1:30" x14ac:dyDescent="0.25">
      <c r="A22" s="7">
        <v>2</v>
      </c>
      <c r="B22" s="7">
        <f t="shared" si="1"/>
        <v>7.5839999999999996</v>
      </c>
      <c r="C22" s="7">
        <f t="shared" si="2"/>
        <v>10.692</v>
      </c>
      <c r="D22" s="7">
        <v>893.20799999999997</v>
      </c>
      <c r="E22" s="7">
        <v>7</v>
      </c>
      <c r="F22" s="14">
        <v>17.811119959999999</v>
      </c>
      <c r="G22" s="2">
        <v>17.71</v>
      </c>
      <c r="H22" s="42">
        <v>45.526799250000003</v>
      </c>
      <c r="I22" s="2">
        <v>44</v>
      </c>
      <c r="J22" s="43">
        <v>1.0303897399999999</v>
      </c>
      <c r="K22" s="2">
        <v>2.2400000000000002</v>
      </c>
      <c r="L22" s="14">
        <v>2.6625466599999998</v>
      </c>
      <c r="M22" s="2">
        <v>3.09</v>
      </c>
      <c r="N22" s="12">
        <v>6068.0084740000002</v>
      </c>
      <c r="O22">
        <v>6351</v>
      </c>
      <c r="P22" s="19">
        <f t="shared" si="0"/>
        <v>282.99152599999979</v>
      </c>
      <c r="Q22" s="43">
        <v>8.6278482929999996</v>
      </c>
      <c r="R22">
        <v>5.26</v>
      </c>
      <c r="S22" s="16">
        <v>1355.8265019999999</v>
      </c>
      <c r="T22">
        <v>1173</v>
      </c>
      <c r="V22" s="2"/>
      <c r="W22" s="43">
        <v>0.97956573300000005</v>
      </c>
      <c r="X22">
        <v>1.01</v>
      </c>
      <c r="Y22" s="14">
        <v>18.565421839999999</v>
      </c>
      <c r="Z22" s="47">
        <v>13.65</v>
      </c>
      <c r="AA22" s="14">
        <v>23.690456019999999</v>
      </c>
      <c r="AB22" s="47">
        <v>24.52</v>
      </c>
      <c r="AD22" s="12"/>
    </row>
    <row r="23" spans="1:30" x14ac:dyDescent="0.25">
      <c r="A23" s="7">
        <v>2</v>
      </c>
      <c r="B23" s="7">
        <f t="shared" si="1"/>
        <v>7.5839999999999996</v>
      </c>
      <c r="C23" s="7">
        <f t="shared" si="2"/>
        <v>10.692</v>
      </c>
      <c r="D23" s="7">
        <v>893.20799999999997</v>
      </c>
      <c r="E23" s="7">
        <v>8</v>
      </c>
      <c r="F23" s="14">
        <v>17.811119959999999</v>
      </c>
      <c r="G23" s="2">
        <v>17.71</v>
      </c>
      <c r="H23" s="42">
        <v>45.5253789</v>
      </c>
      <c r="I23" s="2">
        <v>44</v>
      </c>
      <c r="J23" s="43">
        <v>0.95050921300000002</v>
      </c>
      <c r="K23" s="2">
        <v>2.2400000000000002</v>
      </c>
      <c r="L23" s="14">
        <v>2.6618744560000001</v>
      </c>
      <c r="M23" s="2">
        <v>3.09</v>
      </c>
      <c r="N23" s="12">
        <v>6056.229002</v>
      </c>
      <c r="O23">
        <v>6300</v>
      </c>
      <c r="P23" s="19">
        <f t="shared" si="0"/>
        <v>243.77099799999996</v>
      </c>
      <c r="Q23" s="43">
        <v>9.4572071819999994</v>
      </c>
      <c r="R23">
        <v>5.26</v>
      </c>
      <c r="S23" s="16">
        <v>1532.131764</v>
      </c>
      <c r="T23">
        <v>1152</v>
      </c>
      <c r="V23" s="2"/>
      <c r="W23" s="43">
        <v>0.98663504499999999</v>
      </c>
      <c r="X23">
        <v>1.26</v>
      </c>
      <c r="Y23" s="14">
        <v>18.56513232</v>
      </c>
      <c r="Z23" s="47">
        <v>13.66</v>
      </c>
      <c r="AA23" s="14">
        <v>23.996631990000001</v>
      </c>
      <c r="AB23" s="47">
        <v>24.57</v>
      </c>
      <c r="AD23" s="12"/>
    </row>
    <row r="24" spans="1:30" x14ac:dyDescent="0.25">
      <c r="A24" s="7">
        <v>2.5</v>
      </c>
      <c r="B24" s="7">
        <f t="shared" si="1"/>
        <v>8.0839999999999996</v>
      </c>
      <c r="C24" s="7">
        <f t="shared" si="2"/>
        <v>11.192</v>
      </c>
      <c r="D24" s="7">
        <v>857.36500000000001</v>
      </c>
      <c r="E24" s="7">
        <v>0</v>
      </c>
      <c r="F24" s="14">
        <v>17.249288480000001</v>
      </c>
      <c r="G24" s="2">
        <v>17.170000000000002</v>
      </c>
      <c r="H24" s="42">
        <v>44.031821620000002</v>
      </c>
      <c r="I24" s="2">
        <v>43.3</v>
      </c>
      <c r="J24" s="43">
        <v>2.179840161</v>
      </c>
      <c r="K24" s="2">
        <v>2.4900000000000002</v>
      </c>
      <c r="L24" s="14">
        <v>3.1166209829999998</v>
      </c>
      <c r="M24" s="2">
        <v>3.45</v>
      </c>
      <c r="N24" s="12">
        <v>6062.6230329999999</v>
      </c>
      <c r="O24">
        <v>6361</v>
      </c>
      <c r="P24" s="19">
        <f t="shared" si="0"/>
        <v>298.37696700000015</v>
      </c>
      <c r="Q24" s="43">
        <v>5.1636848119999996</v>
      </c>
      <c r="R24">
        <v>5.39</v>
      </c>
      <c r="S24" s="16">
        <v>393.7103932</v>
      </c>
      <c r="T24">
        <v>420</v>
      </c>
      <c r="U24" s="12">
        <f>MIN(S24:T32)</f>
        <v>393.7103932</v>
      </c>
      <c r="V24" s="19">
        <f>MAX(S24:T32)</f>
        <v>1426.2106779999999</v>
      </c>
      <c r="W24" s="43">
        <v>0.94441343799999999</v>
      </c>
      <c r="X24">
        <v>0.96</v>
      </c>
      <c r="Y24" s="14">
        <v>18.569498459999998</v>
      </c>
      <c r="Z24" s="47">
        <v>13.78</v>
      </c>
      <c r="AA24" s="14">
        <v>23.169461739999999</v>
      </c>
      <c r="AB24" s="47">
        <v>23.52</v>
      </c>
      <c r="AD24" s="12"/>
    </row>
    <row r="25" spans="1:30" x14ac:dyDescent="0.25">
      <c r="A25" s="7">
        <v>2.5</v>
      </c>
      <c r="B25" s="7">
        <f t="shared" si="1"/>
        <v>8.0839999999999996</v>
      </c>
      <c r="C25" s="7">
        <f t="shared" si="2"/>
        <v>11.192</v>
      </c>
      <c r="D25" s="7">
        <v>857.36500000000001</v>
      </c>
      <c r="E25" s="7">
        <v>1</v>
      </c>
      <c r="F25" s="14">
        <v>17.249288480000001</v>
      </c>
      <c r="G25" s="2">
        <v>17.170000000000002</v>
      </c>
      <c r="H25" s="42">
        <v>44.031340520000001</v>
      </c>
      <c r="I25" s="2">
        <v>43.3</v>
      </c>
      <c r="J25" s="43">
        <v>1.9920113639999999</v>
      </c>
      <c r="K25" s="2">
        <v>2.4900000000000002</v>
      </c>
      <c r="L25" s="14">
        <v>3.1166119330000002</v>
      </c>
      <c r="M25" s="2">
        <v>3.45</v>
      </c>
      <c r="N25" s="12">
        <v>6061.6025419999996</v>
      </c>
      <c r="O25">
        <v>6359</v>
      </c>
      <c r="P25" s="19">
        <f t="shared" si="0"/>
        <v>297.39745800000037</v>
      </c>
      <c r="Q25" s="43">
        <v>5.2595242029999998</v>
      </c>
      <c r="R25">
        <v>5.39</v>
      </c>
      <c r="S25" s="16">
        <v>431.50150480000002</v>
      </c>
      <c r="T25">
        <v>443</v>
      </c>
      <c r="V25" s="2"/>
      <c r="W25" s="43">
        <v>0.94082180800000004</v>
      </c>
      <c r="X25">
        <v>0.96</v>
      </c>
      <c r="Y25" s="14">
        <v>18.569255340000002</v>
      </c>
      <c r="Z25" s="47">
        <v>13.78</v>
      </c>
      <c r="AA25" s="14">
        <v>23.190529349999998</v>
      </c>
      <c r="AB25" s="47">
        <v>23.53</v>
      </c>
      <c r="AD25" s="12"/>
    </row>
    <row r="26" spans="1:30" x14ac:dyDescent="0.25">
      <c r="A26" s="7">
        <v>2.5</v>
      </c>
      <c r="B26" s="7">
        <f t="shared" si="1"/>
        <v>8.0839999999999996</v>
      </c>
      <c r="C26" s="7">
        <f t="shared" si="2"/>
        <v>11.192</v>
      </c>
      <c r="D26" s="7">
        <v>857.36500000000001</v>
      </c>
      <c r="E26" s="7">
        <v>2</v>
      </c>
      <c r="F26" s="14">
        <v>17.249288480000001</v>
      </c>
      <c r="G26" s="2">
        <v>17.170000000000002</v>
      </c>
      <c r="H26" s="42">
        <v>44.03019578</v>
      </c>
      <c r="I26" s="2">
        <v>43.3</v>
      </c>
      <c r="J26" s="43">
        <v>1.8262553029999999</v>
      </c>
      <c r="K26" s="2">
        <v>2.4900000000000002</v>
      </c>
      <c r="L26" s="14">
        <v>3.1166471439999999</v>
      </c>
      <c r="M26" s="2">
        <v>3.45</v>
      </c>
      <c r="N26" s="12">
        <v>6058.6381270000002</v>
      </c>
      <c r="O26">
        <v>6355</v>
      </c>
      <c r="P26" s="19">
        <f t="shared" si="0"/>
        <v>296.36187299999983</v>
      </c>
      <c r="Q26" s="43">
        <v>5.5372871029999997</v>
      </c>
      <c r="R26">
        <v>5.39</v>
      </c>
      <c r="S26" s="16">
        <v>521.97571219999998</v>
      </c>
      <c r="T26">
        <v>504</v>
      </c>
      <c r="V26" s="2"/>
      <c r="W26" s="43">
        <v>0.93014249699999996</v>
      </c>
      <c r="X26">
        <v>0.96</v>
      </c>
      <c r="Y26" s="14">
        <v>18.569016309999999</v>
      </c>
      <c r="Z26" s="47">
        <v>13.78</v>
      </c>
      <c r="AA26" s="14">
        <v>23.25530015</v>
      </c>
      <c r="AB26" s="47">
        <v>23.59</v>
      </c>
      <c r="AD26" s="12"/>
    </row>
    <row r="27" spans="1:30" x14ac:dyDescent="0.25">
      <c r="A27" s="7">
        <v>2.5</v>
      </c>
      <c r="B27" s="7">
        <f t="shared" si="1"/>
        <v>8.0839999999999996</v>
      </c>
      <c r="C27" s="7">
        <f t="shared" si="2"/>
        <v>11.192</v>
      </c>
      <c r="D27" s="7">
        <v>857.36500000000001</v>
      </c>
      <c r="E27" s="7">
        <v>3</v>
      </c>
      <c r="F27" s="14">
        <v>17.249288480000001</v>
      </c>
      <c r="G27" s="2">
        <v>17.170000000000002</v>
      </c>
      <c r="H27" s="42">
        <v>44.028678620000001</v>
      </c>
      <c r="I27" s="2">
        <v>43.3</v>
      </c>
      <c r="J27" s="43">
        <v>1.68102782</v>
      </c>
      <c r="K27" s="2">
        <v>2.4900000000000002</v>
      </c>
      <c r="L27" s="14">
        <v>3.116049522</v>
      </c>
      <c r="M27" s="2">
        <v>3.45</v>
      </c>
      <c r="N27" s="12">
        <v>6053.7758670000003</v>
      </c>
      <c r="O27">
        <v>6344</v>
      </c>
      <c r="P27" s="19">
        <f t="shared" si="0"/>
        <v>290.22413299999971</v>
      </c>
      <c r="Q27" s="43">
        <v>5.9716415400000002</v>
      </c>
      <c r="R27">
        <v>5.39</v>
      </c>
      <c r="S27" s="16">
        <v>640.96551269999998</v>
      </c>
      <c r="T27">
        <v>543</v>
      </c>
      <c r="V27" s="2"/>
      <c r="W27" s="43">
        <v>0.90535899900000005</v>
      </c>
      <c r="X27">
        <v>0.97</v>
      </c>
      <c r="Y27" s="14">
        <v>18.568705919999999</v>
      </c>
      <c r="Z27" s="47">
        <v>13.78</v>
      </c>
      <c r="AA27" s="14">
        <v>23.350849960000001</v>
      </c>
      <c r="AB27" s="47">
        <v>23.7</v>
      </c>
      <c r="AD27" s="12"/>
    </row>
    <row r="28" spans="1:30" x14ac:dyDescent="0.25">
      <c r="A28" s="7">
        <v>2.5</v>
      </c>
      <c r="B28" s="7">
        <f t="shared" si="1"/>
        <v>8.0839999999999996</v>
      </c>
      <c r="C28" s="7">
        <f t="shared" si="2"/>
        <v>11.192</v>
      </c>
      <c r="D28" s="7">
        <v>857.36500000000001</v>
      </c>
      <c r="E28" s="7">
        <v>4</v>
      </c>
      <c r="F28" s="14">
        <v>17.249288480000001</v>
      </c>
      <c r="G28" s="2">
        <v>17.170000000000002</v>
      </c>
      <c r="H28" s="42">
        <v>44.026991070000001</v>
      </c>
      <c r="I28" s="2">
        <v>43.3</v>
      </c>
      <c r="J28" s="43">
        <v>1.5531189990000001</v>
      </c>
      <c r="K28" s="2">
        <v>2.4900000000000002</v>
      </c>
      <c r="L28" s="14">
        <v>3.115984396</v>
      </c>
      <c r="M28" s="2">
        <v>3.45</v>
      </c>
      <c r="N28" s="12">
        <v>6047.1029660000004</v>
      </c>
      <c r="O28">
        <v>6334</v>
      </c>
      <c r="P28" s="19">
        <f t="shared" si="0"/>
        <v>286.89703399999962</v>
      </c>
      <c r="Q28" s="43">
        <v>6.5314207460000002</v>
      </c>
      <c r="R28">
        <v>5.39</v>
      </c>
      <c r="S28" s="16">
        <v>784.43854069999998</v>
      </c>
      <c r="T28">
        <v>652</v>
      </c>
      <c r="V28" s="2"/>
      <c r="W28" s="43">
        <v>0.92969423299999998</v>
      </c>
      <c r="X28">
        <v>0.98</v>
      </c>
      <c r="Y28" s="14">
        <v>18.568525139999998</v>
      </c>
      <c r="Z28" s="47">
        <v>13.78</v>
      </c>
      <c r="AA28" s="14">
        <v>23.510081570000001</v>
      </c>
      <c r="AB28" s="47">
        <v>23.81</v>
      </c>
      <c r="AD28" s="12"/>
    </row>
    <row r="29" spans="1:30" x14ac:dyDescent="0.25">
      <c r="A29" s="7">
        <v>2.5</v>
      </c>
      <c r="B29" s="7">
        <f t="shared" si="1"/>
        <v>8.0839999999999996</v>
      </c>
      <c r="C29" s="7">
        <f t="shared" si="2"/>
        <v>11.192</v>
      </c>
      <c r="D29" s="7">
        <v>857.36500000000001</v>
      </c>
      <c r="E29" s="7">
        <v>5</v>
      </c>
      <c r="F29" s="14">
        <v>17.249288480000001</v>
      </c>
      <c r="G29" s="2">
        <v>17.170000000000002</v>
      </c>
      <c r="H29" s="42">
        <v>44.025279159999997</v>
      </c>
      <c r="I29" s="2">
        <v>43.3</v>
      </c>
      <c r="J29" s="43">
        <v>1.439915762</v>
      </c>
      <c r="K29" s="2">
        <v>2.4900000000000002</v>
      </c>
      <c r="L29" s="14">
        <v>3.1159347089999998</v>
      </c>
      <c r="M29" s="2">
        <v>3.45</v>
      </c>
      <c r="N29" s="12">
        <v>6038.6682069999997</v>
      </c>
      <c r="O29">
        <v>6316</v>
      </c>
      <c r="P29" s="19">
        <f t="shared" si="0"/>
        <v>277.33179300000029</v>
      </c>
      <c r="Q29" s="43">
        <v>7.1873785430000003</v>
      </c>
      <c r="R29">
        <v>5.39</v>
      </c>
      <c r="S29" s="16">
        <v>929.78420919999996</v>
      </c>
      <c r="T29">
        <v>722</v>
      </c>
      <c r="V29" s="2"/>
      <c r="W29" s="43">
        <v>0.95944425300000002</v>
      </c>
      <c r="X29">
        <v>0.99</v>
      </c>
      <c r="Y29" s="14">
        <v>18.568223580000002</v>
      </c>
      <c r="Z29" s="47">
        <v>13.78</v>
      </c>
      <c r="AA29" s="14">
        <v>23.690624499999998</v>
      </c>
      <c r="AB29" s="47">
        <v>24.06</v>
      </c>
      <c r="AD29" s="12"/>
    </row>
    <row r="30" spans="1:30" x14ac:dyDescent="0.25">
      <c r="A30" s="7">
        <v>2.5</v>
      </c>
      <c r="B30" s="7">
        <f t="shared" si="1"/>
        <v>8.0839999999999996</v>
      </c>
      <c r="C30" s="7">
        <f t="shared" si="2"/>
        <v>11.192</v>
      </c>
      <c r="D30" s="7">
        <v>857.36500000000001</v>
      </c>
      <c r="E30" s="7">
        <v>6</v>
      </c>
      <c r="F30" s="14">
        <v>17.249288480000001</v>
      </c>
      <c r="G30" s="2">
        <v>17.170000000000002</v>
      </c>
      <c r="H30" s="42">
        <v>44.023647480000001</v>
      </c>
      <c r="I30" s="2">
        <v>43.3</v>
      </c>
      <c r="J30" s="43">
        <v>1.3392755439999999</v>
      </c>
      <c r="K30" s="2">
        <v>2.4900000000000002</v>
      </c>
      <c r="L30" s="14">
        <v>3.1153888379999999</v>
      </c>
      <c r="M30" s="2">
        <v>3.45</v>
      </c>
      <c r="N30" s="12">
        <v>6028.5736049999996</v>
      </c>
      <c r="O30">
        <v>6309</v>
      </c>
      <c r="P30" s="19">
        <f t="shared" si="0"/>
        <v>280.42639500000041</v>
      </c>
      <c r="Q30" s="43">
        <v>7.9156405029999997</v>
      </c>
      <c r="R30">
        <v>5.39</v>
      </c>
      <c r="S30" s="16">
        <v>1094.8353</v>
      </c>
      <c r="T30">
        <v>887</v>
      </c>
      <c r="V30" s="2"/>
      <c r="W30" s="43">
        <v>0.97708742299999995</v>
      </c>
      <c r="X30">
        <v>0.99</v>
      </c>
      <c r="Y30" s="14">
        <v>18.56804473</v>
      </c>
      <c r="Z30" s="47">
        <v>13.78</v>
      </c>
      <c r="AA30" s="14">
        <v>23.931615709999999</v>
      </c>
      <c r="AB30" s="47">
        <v>24.28</v>
      </c>
      <c r="AD30" s="12"/>
    </row>
    <row r="31" spans="1:30" x14ac:dyDescent="0.25">
      <c r="A31" s="7">
        <v>2.5</v>
      </c>
      <c r="B31" s="7">
        <f t="shared" si="1"/>
        <v>8.0839999999999996</v>
      </c>
      <c r="C31" s="7">
        <f t="shared" si="2"/>
        <v>11.192</v>
      </c>
      <c r="D31" s="7">
        <v>857.36500000000001</v>
      </c>
      <c r="E31" s="7">
        <v>7</v>
      </c>
      <c r="F31" s="14">
        <v>17.249288480000001</v>
      </c>
      <c r="G31" s="2">
        <v>17.170000000000002</v>
      </c>
      <c r="H31" s="42">
        <v>44.022168409999999</v>
      </c>
      <c r="I31" s="2">
        <v>43.3</v>
      </c>
      <c r="J31" s="43">
        <v>1.2494636779999999</v>
      </c>
      <c r="K31" s="2">
        <v>2.4900000000000002</v>
      </c>
      <c r="L31" s="14">
        <v>3.114903392</v>
      </c>
      <c r="M31" s="2">
        <v>3.45</v>
      </c>
      <c r="N31" s="12">
        <v>6016.8688869999996</v>
      </c>
      <c r="O31">
        <v>6289</v>
      </c>
      <c r="P31" s="19">
        <f t="shared" si="0"/>
        <v>272.13111300000037</v>
      </c>
      <c r="Q31" s="43">
        <v>8.6980640959999995</v>
      </c>
      <c r="R31">
        <v>5.39</v>
      </c>
      <c r="S31" s="16">
        <v>1251.2637090000001</v>
      </c>
      <c r="T31">
        <v>1090</v>
      </c>
      <c r="V31" s="2"/>
      <c r="W31" s="43">
        <v>0.985972403</v>
      </c>
      <c r="X31">
        <v>1.02</v>
      </c>
      <c r="Y31" s="14">
        <v>18.567750910000001</v>
      </c>
      <c r="Z31" s="47">
        <v>13.78</v>
      </c>
      <c r="AA31" s="14">
        <v>24.193064679999999</v>
      </c>
      <c r="AB31" s="47">
        <v>25.02</v>
      </c>
      <c r="AD31" s="12"/>
    </row>
    <row r="32" spans="1:30" ht="15.75" thickBot="1" x14ac:dyDescent="0.3">
      <c r="A32" s="20">
        <v>2.5</v>
      </c>
      <c r="B32" s="20">
        <f t="shared" si="1"/>
        <v>8.0839999999999996</v>
      </c>
      <c r="C32" s="20">
        <f t="shared" si="2"/>
        <v>11.192</v>
      </c>
      <c r="D32" s="20">
        <v>857.36500000000001</v>
      </c>
      <c r="E32" s="20">
        <v>8</v>
      </c>
      <c r="F32" s="21">
        <v>17.249288480000001</v>
      </c>
      <c r="G32" s="8">
        <v>17.170000000000002</v>
      </c>
      <c r="H32" s="22">
        <v>44.020887999999999</v>
      </c>
      <c r="I32" s="8">
        <v>43.3</v>
      </c>
      <c r="J32" s="23">
        <v>1.169046885</v>
      </c>
      <c r="K32" s="8">
        <v>2.4900000000000002</v>
      </c>
      <c r="L32" s="21">
        <v>3.1185898779999999</v>
      </c>
      <c r="M32" s="8">
        <v>3.45</v>
      </c>
      <c r="N32" s="24">
        <v>6003.682495</v>
      </c>
      <c r="O32" s="10">
        <v>6237</v>
      </c>
      <c r="P32" s="25">
        <f t="shared" si="0"/>
        <v>233.31750499999998</v>
      </c>
      <c r="Q32" s="23">
        <v>9.5213062730000004</v>
      </c>
      <c r="R32" s="10">
        <v>5.39</v>
      </c>
      <c r="S32" s="26">
        <v>1426.2106779999999</v>
      </c>
      <c r="T32" s="10">
        <v>1056</v>
      </c>
      <c r="U32" s="10"/>
      <c r="V32" s="8"/>
      <c r="W32" s="23">
        <v>0.99035906900000004</v>
      </c>
      <c r="X32" s="10">
        <v>1.27</v>
      </c>
      <c r="Y32" s="21">
        <v>18.567553790000002</v>
      </c>
      <c r="Z32" s="48">
        <v>13.8</v>
      </c>
      <c r="AA32" s="21">
        <v>24.50792989</v>
      </c>
      <c r="AB32" s="48">
        <v>25.07</v>
      </c>
      <c r="AD32" s="12"/>
    </row>
    <row r="33" spans="14:30" x14ac:dyDescent="0.25">
      <c r="N33" s="12"/>
      <c r="P33" s="19">
        <f>AVERAGE(P6:P32)</f>
        <v>303.58340851851852</v>
      </c>
      <c r="AC33" t="s">
        <v>26</v>
      </c>
      <c r="AD33" s="12"/>
    </row>
  </sheetData>
  <autoFilter ref="A5:AB32" xr:uid="{3B0A0E55-AFF8-4EA7-9003-E3B6E57A1FCA}"/>
  <mergeCells count="11">
    <mergeCell ref="A1:O1"/>
    <mergeCell ref="L4:M4"/>
    <mergeCell ref="AA4:AB4"/>
    <mergeCell ref="F4:G4"/>
    <mergeCell ref="H4:I4"/>
    <mergeCell ref="J4:K4"/>
    <mergeCell ref="N4:P4"/>
    <mergeCell ref="Q4:R4"/>
    <mergeCell ref="W4:X4"/>
    <mergeCell ref="Y4:Z4"/>
    <mergeCell ref="S4:V4"/>
  </mergeCells>
  <conditionalFormatting sqref="A6:A32">
    <cfRule type="colorScale" priority="33">
      <colorScale>
        <cfvo type="min"/>
        <cfvo type="max"/>
        <color rgb="FFFCFCFF"/>
        <color rgb="FF63BE7B"/>
      </colorScale>
    </cfRule>
  </conditionalFormatting>
  <conditionalFormatting sqref="B6:B32">
    <cfRule type="colorScale" priority="34">
      <colorScale>
        <cfvo type="min"/>
        <cfvo type="max"/>
        <color rgb="FFFCFCFF"/>
        <color rgb="FF63BE7B"/>
      </colorScale>
    </cfRule>
  </conditionalFormatting>
  <conditionalFormatting sqref="C6:C32">
    <cfRule type="colorScale" priority="35">
      <colorScale>
        <cfvo type="min"/>
        <cfvo type="max"/>
        <color rgb="FFFCFCFF"/>
        <color rgb="FF63BE7B"/>
      </colorScale>
    </cfRule>
  </conditionalFormatting>
  <conditionalFormatting sqref="D6:D32">
    <cfRule type="colorScale" priority="2">
      <colorScale>
        <cfvo type="min"/>
        <cfvo type="max"/>
        <color rgb="FF63BE7B"/>
        <color rgb="FFFCFCFF"/>
      </colorScale>
    </cfRule>
  </conditionalFormatting>
  <conditionalFormatting sqref="E6:E984">
    <cfRule type="cellIs" dxfId="16" priority="9" operator="greaterThan">
      <formula>8.94</formula>
    </cfRule>
    <cfRule type="cellIs" dxfId="15" priority="10" operator="greaterThan">
      <formula>4.47</formula>
    </cfRule>
  </conditionalFormatting>
  <conditionalFormatting sqref="H6:I34">
    <cfRule type="cellIs" dxfId="14" priority="12" operator="lessThan">
      <formula>$E$3</formula>
    </cfRule>
  </conditionalFormatting>
  <conditionalFormatting sqref="J6:M34">
    <cfRule type="expression" dxfId="13" priority="74">
      <formula>AND(ISNUMBER(J6),J6&lt;=$D$3)</formula>
    </cfRule>
  </conditionalFormatting>
  <conditionalFormatting sqref="Q6:R34">
    <cfRule type="cellIs" dxfId="12" priority="11" operator="greaterThan">
      <formula>$G$3</formula>
    </cfRule>
  </conditionalFormatting>
  <conditionalFormatting sqref="S6:V32 Y6:Z32">
    <cfRule type="cellIs" dxfId="11" priority="5" operator="greaterThan">
      <formula>$F$3</formula>
    </cfRule>
  </conditionalFormatting>
  <conditionalFormatting sqref="Y6:Z32">
    <cfRule type="cellIs" dxfId="10" priority="73" operator="greaterThan">
      <formula>$I$3</formula>
    </cfRule>
  </conditionalFormatting>
  <conditionalFormatting sqref="AA6:AB32">
    <cfRule type="cellIs" dxfId="9" priority="1" operator="greaterThan">
      <formula>$K$3</formula>
    </cfRule>
  </conditionalFormatting>
  <pageMargins left="0.7" right="0.7" top="0.75" bottom="0.75" header="0.3" footer="0.3"/>
  <pageSetup paperSize="9" orientation="portrait" horizontalDpi="4294967293" verticalDpi="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58C54E3-138A-40BD-8BC1-10E34CC206FD}">
  <dimension ref="A1:AD33"/>
  <sheetViews>
    <sheetView workbookViewId="0">
      <pane xSplit="1" ySplit="5" topLeftCell="B6" activePane="bottomRight" state="frozen"/>
      <selection pane="topRight" activeCell="B1" sqref="B1"/>
      <selection pane="bottomLeft" activeCell="A5" sqref="A5"/>
      <selection pane="bottomRight" activeCell="B6" sqref="B6"/>
    </sheetView>
  </sheetViews>
  <sheetFormatPr defaultRowHeight="15" x14ac:dyDescent="0.25"/>
  <cols>
    <col min="1" max="1" width="10.85546875" style="7" customWidth="1"/>
    <col min="2" max="2" width="15.42578125" style="7" customWidth="1"/>
    <col min="3" max="3" width="23.42578125" style="7" customWidth="1"/>
    <col min="4" max="4" width="23.42578125" customWidth="1"/>
    <col min="5" max="5" width="13.42578125" customWidth="1"/>
    <col min="6" max="6" width="11.7109375" style="1" customWidth="1"/>
    <col min="7" max="7" width="11.7109375" style="2" customWidth="1"/>
    <col min="8" max="8" width="11.7109375" style="1" customWidth="1"/>
    <col min="9" max="9" width="11.7109375" style="2" customWidth="1"/>
    <col min="10" max="10" width="11.7109375" style="1" customWidth="1"/>
    <col min="11" max="11" width="11.7109375" style="2" customWidth="1"/>
    <col min="12" max="13" width="11.7109375" customWidth="1"/>
    <col min="14" max="14" width="11.7109375" style="1" customWidth="1"/>
    <col min="15" max="15" width="11.7109375" customWidth="1"/>
    <col min="16" max="16" width="11.7109375" style="2" customWidth="1"/>
    <col min="17" max="17" width="11.7109375" customWidth="1"/>
    <col min="18" max="18" width="12.5703125" style="2" customWidth="1"/>
    <col min="19" max="19" width="11.7109375" style="1" customWidth="1"/>
    <col min="20" max="20" width="11.7109375" style="2" customWidth="1"/>
    <col min="21" max="21" width="8" customWidth="1"/>
    <col min="22" max="22" width="8.28515625" customWidth="1"/>
    <col min="23" max="26" width="11.7109375" customWidth="1"/>
    <col min="27" max="27" width="11.7109375" style="1" customWidth="1"/>
    <col min="28" max="28" width="11.7109375" style="2" customWidth="1"/>
  </cols>
  <sheetData>
    <row r="1" spans="1:30" ht="15.75" thickBot="1" x14ac:dyDescent="0.3">
      <c r="A1" s="49" t="s">
        <v>37</v>
      </c>
      <c r="B1" s="50"/>
      <c r="C1" s="50"/>
      <c r="D1" s="50"/>
      <c r="E1" s="50"/>
      <c r="F1" s="50"/>
      <c r="G1" s="50"/>
      <c r="H1" s="50"/>
      <c r="I1" s="50"/>
      <c r="J1" s="50"/>
      <c r="K1" s="50"/>
      <c r="L1" s="50"/>
      <c r="M1" s="50"/>
      <c r="N1" s="50"/>
      <c r="O1" s="51"/>
      <c r="P1"/>
      <c r="R1"/>
      <c r="S1"/>
      <c r="T1"/>
      <c r="AA1"/>
      <c r="AB1"/>
    </row>
    <row r="2" spans="1:30" s="11" customFormat="1" ht="60" x14ac:dyDescent="0.25">
      <c r="A2" s="33" t="s">
        <v>12</v>
      </c>
      <c r="B2" s="34" t="s">
        <v>17</v>
      </c>
      <c r="C2" s="34" t="s">
        <v>39</v>
      </c>
      <c r="D2" s="34" t="s">
        <v>14</v>
      </c>
      <c r="E2" s="34" t="s">
        <v>13</v>
      </c>
      <c r="F2" s="34" t="s">
        <v>15</v>
      </c>
      <c r="G2" s="34" t="s">
        <v>16</v>
      </c>
      <c r="H2" s="34" t="s">
        <v>33</v>
      </c>
      <c r="I2" s="34" t="s">
        <v>28</v>
      </c>
      <c r="J2" s="35"/>
      <c r="K2" s="34" t="s">
        <v>36</v>
      </c>
      <c r="L2" s="34"/>
      <c r="M2" s="34"/>
      <c r="N2" s="35"/>
      <c r="O2" s="36"/>
      <c r="P2" s="27" t="s">
        <v>35</v>
      </c>
      <c r="S2"/>
    </row>
    <row r="3" spans="1:30" ht="15.75" thickBot="1" x14ac:dyDescent="0.3">
      <c r="A3" s="37">
        <f>standard!A3</f>
        <v>7</v>
      </c>
      <c r="B3" s="28">
        <f>standard!B3</f>
        <v>2</v>
      </c>
      <c r="C3" s="31">
        <f>standard!C3</f>
        <v>400</v>
      </c>
      <c r="D3" s="28">
        <f>standard!D3</f>
        <v>1.59</v>
      </c>
      <c r="E3" s="28">
        <f>standard!E3</f>
        <v>0</v>
      </c>
      <c r="F3" s="31">
        <f>standard!F3</f>
        <v>1000</v>
      </c>
      <c r="G3" s="28">
        <f>standard!G3</f>
        <v>7</v>
      </c>
      <c r="H3" s="31">
        <f>standard!H3</f>
        <v>0</v>
      </c>
      <c r="I3" s="28">
        <f>standard!I3</f>
        <v>15</v>
      </c>
      <c r="J3" s="31" t="str">
        <f>standard!J3</f>
        <v>(or 29 g?)</v>
      </c>
      <c r="K3" s="28">
        <f>standard!K3</f>
        <v>25</v>
      </c>
      <c r="L3" s="44"/>
      <c r="M3" s="45"/>
      <c r="N3" s="10"/>
      <c r="O3" s="8"/>
      <c r="P3" s="10"/>
      <c r="Q3" s="10"/>
      <c r="R3" s="10"/>
      <c r="S3"/>
      <c r="T3"/>
      <c r="AA3" s="10"/>
      <c r="AB3"/>
    </row>
    <row r="4" spans="1:30" ht="30" customHeight="1" thickBot="1" x14ac:dyDescent="0.3">
      <c r="A4" s="9"/>
      <c r="B4" s="10"/>
      <c r="C4"/>
      <c r="E4" s="8"/>
      <c r="F4" s="52" t="s">
        <v>8</v>
      </c>
      <c r="G4" s="53"/>
      <c r="H4" s="52" t="s">
        <v>3</v>
      </c>
      <c r="I4" s="53"/>
      <c r="J4" s="52" t="s">
        <v>9</v>
      </c>
      <c r="K4" s="53"/>
      <c r="L4" s="54" t="s">
        <v>38</v>
      </c>
      <c r="M4" s="55"/>
      <c r="N4" s="56" t="s">
        <v>2</v>
      </c>
      <c r="O4" s="57"/>
      <c r="P4" s="55"/>
      <c r="Q4" s="58" t="s">
        <v>10</v>
      </c>
      <c r="R4" s="59"/>
      <c r="S4" s="61" t="s">
        <v>11</v>
      </c>
      <c r="T4" s="63"/>
      <c r="U4" s="63"/>
      <c r="V4" s="62"/>
      <c r="W4" s="54" t="s">
        <v>32</v>
      </c>
      <c r="X4" s="60"/>
      <c r="Y4" s="54" t="s">
        <v>31</v>
      </c>
      <c r="Z4" s="60"/>
      <c r="AA4" s="61" t="s">
        <v>30</v>
      </c>
      <c r="AB4" s="62"/>
    </row>
    <row r="5" spans="1:30" ht="45.75" thickBot="1" x14ac:dyDescent="0.3">
      <c r="A5" s="6" t="s">
        <v>1</v>
      </c>
      <c r="B5" s="6" t="s">
        <v>0</v>
      </c>
      <c r="C5" s="6" t="s">
        <v>4</v>
      </c>
      <c r="D5" s="6" t="s">
        <v>34</v>
      </c>
      <c r="E5" s="4" t="s">
        <v>7</v>
      </c>
      <c r="F5" s="3" t="s">
        <v>5</v>
      </c>
      <c r="G5" s="5" t="s">
        <v>6</v>
      </c>
      <c r="H5" s="3" t="s">
        <v>5</v>
      </c>
      <c r="I5" s="5" t="s">
        <v>6</v>
      </c>
      <c r="J5" s="3" t="s">
        <v>5</v>
      </c>
      <c r="K5" s="5" t="s">
        <v>6</v>
      </c>
      <c r="L5" s="3" t="s">
        <v>5</v>
      </c>
      <c r="M5" s="5" t="s">
        <v>6</v>
      </c>
      <c r="N5" s="3" t="s">
        <v>5</v>
      </c>
      <c r="O5" s="4" t="s">
        <v>6</v>
      </c>
      <c r="P5" s="5" t="s">
        <v>25</v>
      </c>
      <c r="Q5" s="4" t="s">
        <v>5</v>
      </c>
      <c r="R5" s="4" t="s">
        <v>6</v>
      </c>
      <c r="S5" s="3" t="s">
        <v>5</v>
      </c>
      <c r="T5" s="4" t="s">
        <v>6</v>
      </c>
      <c r="U5" s="4" t="s">
        <v>40</v>
      </c>
      <c r="V5" s="5" t="s">
        <v>41</v>
      </c>
      <c r="W5" s="4" t="s">
        <v>5</v>
      </c>
      <c r="X5" s="5" t="s">
        <v>6</v>
      </c>
      <c r="Y5" s="3" t="s">
        <v>5</v>
      </c>
      <c r="Z5" s="5" t="s">
        <v>6</v>
      </c>
      <c r="AA5" s="3" t="s">
        <v>5</v>
      </c>
      <c r="AB5" s="5" t="s">
        <v>6</v>
      </c>
    </row>
    <row r="6" spans="1:30" x14ac:dyDescent="0.25">
      <c r="A6" s="32">
        <f>standard!A6</f>
        <v>0</v>
      </c>
      <c r="B6" s="32">
        <f>standard!B6</f>
        <v>5.5839999999999996</v>
      </c>
      <c r="C6" s="32">
        <f>standard!C6</f>
        <v>8.6920000000000002</v>
      </c>
      <c r="D6" s="32">
        <f>standard!D6</f>
        <v>1100.768</v>
      </c>
      <c r="E6" s="32">
        <f>standard!E6</f>
        <v>0</v>
      </c>
      <c r="F6" s="13">
        <f>standard!F6</f>
        <v>20.388034009999998</v>
      </c>
      <c r="G6" s="29">
        <f>standard!G6</f>
        <v>20.27</v>
      </c>
      <c r="H6" s="38">
        <f>standard!H6</f>
        <v>48.869867370000001</v>
      </c>
      <c r="I6" s="29">
        <f>standard!I6</f>
        <v>47.3</v>
      </c>
      <c r="J6" s="39">
        <f>standard!J6</f>
        <v>0.80044556</v>
      </c>
      <c r="K6" s="29">
        <f>standard!K6</f>
        <v>1.1000000000000001</v>
      </c>
      <c r="L6" s="13">
        <f>standard!L6</f>
        <v>0.48057145899999998</v>
      </c>
      <c r="M6" s="29">
        <f>standard!M6</f>
        <v>1.33</v>
      </c>
      <c r="N6" s="40">
        <f>standard!N6</f>
        <v>6233.877023</v>
      </c>
      <c r="O6" s="30">
        <f>standard!O6</f>
        <v>6592</v>
      </c>
      <c r="P6" s="41">
        <f>O6-N6</f>
        <v>358.12297699999999</v>
      </c>
      <c r="Q6" s="39">
        <v>4.6571115189999999</v>
      </c>
      <c r="R6" s="30">
        <v>4.75</v>
      </c>
      <c r="S6" s="16">
        <v>359.49341820000001</v>
      </c>
      <c r="T6">
        <v>399</v>
      </c>
      <c r="U6" s="12">
        <f>MIN(S6:T14)</f>
        <v>359.49341820000001</v>
      </c>
      <c r="V6" s="19">
        <f>MAX(S6:T14)</f>
        <v>8740.3700179999996</v>
      </c>
      <c r="W6" s="39"/>
      <c r="X6" s="30"/>
      <c r="Y6" s="15">
        <v>44.838512110000003</v>
      </c>
      <c r="Z6" s="29">
        <v>38.94</v>
      </c>
      <c r="AA6" s="15">
        <v>43.276376499999998</v>
      </c>
      <c r="AB6" s="29">
        <v>45.64</v>
      </c>
      <c r="AD6" s="12"/>
    </row>
    <row r="7" spans="1:30" x14ac:dyDescent="0.25">
      <c r="A7" s="7">
        <f>standard!A7</f>
        <v>0</v>
      </c>
      <c r="B7" s="7">
        <f>standard!B7</f>
        <v>5.5839999999999996</v>
      </c>
      <c r="C7" s="7">
        <f>standard!C7</f>
        <v>8.6920000000000002</v>
      </c>
      <c r="D7" s="7">
        <f>standard!D7</f>
        <v>1100.768</v>
      </c>
      <c r="E7" s="7">
        <f>standard!E7</f>
        <v>1</v>
      </c>
      <c r="F7" s="14">
        <f>standard!F7</f>
        <v>20.388034009999998</v>
      </c>
      <c r="G7" s="2">
        <f>standard!G7</f>
        <v>20.27</v>
      </c>
      <c r="H7" s="42">
        <f>standard!H7</f>
        <v>48.869335059999997</v>
      </c>
      <c r="I7" s="2">
        <f>standard!I7</f>
        <v>47.3</v>
      </c>
      <c r="J7" s="43">
        <f>standard!J7</f>
        <v>0.63000274999999994</v>
      </c>
      <c r="K7" s="2">
        <f>standard!K7</f>
        <v>1.1000000000000001</v>
      </c>
      <c r="L7" s="14">
        <f>standard!L7</f>
        <v>0.480926144</v>
      </c>
      <c r="M7" s="2">
        <f>standard!M7</f>
        <v>1.34</v>
      </c>
      <c r="N7" s="12">
        <f>standard!N7</f>
        <v>6233.297767</v>
      </c>
      <c r="O7">
        <f>standard!O7</f>
        <v>6590</v>
      </c>
      <c r="P7" s="19">
        <f t="shared" ref="P7:P32" si="0">O7-N7</f>
        <v>356.70223299999998</v>
      </c>
      <c r="Q7" s="43">
        <v>4.7631751060000003</v>
      </c>
      <c r="R7">
        <v>4.75</v>
      </c>
      <c r="S7" s="16">
        <v>1133.68848</v>
      </c>
      <c r="T7">
        <v>1142</v>
      </c>
      <c r="V7" s="2"/>
      <c r="W7" s="43"/>
      <c r="Y7" s="16">
        <v>44.801984640000001</v>
      </c>
      <c r="Z7" s="2">
        <v>39.35</v>
      </c>
      <c r="AA7" s="16">
        <v>43.287933700000004</v>
      </c>
      <c r="AB7" s="2">
        <v>45.85</v>
      </c>
      <c r="AD7" s="12"/>
    </row>
    <row r="8" spans="1:30" x14ac:dyDescent="0.25">
      <c r="A8" s="7">
        <f>standard!A8</f>
        <v>0</v>
      </c>
      <c r="B8" s="7">
        <f>standard!B8</f>
        <v>5.5839999999999996</v>
      </c>
      <c r="C8" s="7">
        <f>standard!C8</f>
        <v>8.6920000000000002</v>
      </c>
      <c r="D8" s="7">
        <f>standard!D8</f>
        <v>1100.768</v>
      </c>
      <c r="E8" s="7">
        <f>standard!E8</f>
        <v>2</v>
      </c>
      <c r="F8" s="14">
        <f>standard!F8</f>
        <v>20.388034009999998</v>
      </c>
      <c r="G8" s="2">
        <f>standard!G8</f>
        <v>20.27</v>
      </c>
      <c r="H8" s="42">
        <f>standard!H8</f>
        <v>48.868046020000001</v>
      </c>
      <c r="I8" s="2">
        <f>standard!I8</f>
        <v>47.3</v>
      </c>
      <c r="J8" s="43">
        <f>standard!J8</f>
        <v>0.47762326599999999</v>
      </c>
      <c r="K8" s="2">
        <f>standard!K8</f>
        <v>1.1000000000000001</v>
      </c>
      <c r="L8" s="14">
        <f>standard!L8</f>
        <v>0.48087331100000003</v>
      </c>
      <c r="M8" s="2">
        <f>standard!M8</f>
        <v>1.34</v>
      </c>
      <c r="N8" s="12">
        <f>standard!N8</f>
        <v>6231.5874249999997</v>
      </c>
      <c r="O8">
        <f>standard!O8</f>
        <v>6587</v>
      </c>
      <c r="P8" s="19">
        <f t="shared" si="0"/>
        <v>355.41257500000029</v>
      </c>
      <c r="Q8" s="43">
        <v>5.0682330609999999</v>
      </c>
      <c r="R8">
        <v>4.75</v>
      </c>
      <c r="S8" s="16">
        <v>2171.0025110000001</v>
      </c>
      <c r="T8">
        <v>2186</v>
      </c>
      <c r="V8" s="2"/>
      <c r="W8" s="43"/>
      <c r="Y8" s="16">
        <v>43.713300080000003</v>
      </c>
      <c r="Z8" s="2">
        <v>40.79</v>
      </c>
      <c r="AA8" s="16">
        <v>42.558364009999998</v>
      </c>
      <c r="AB8" s="2">
        <v>46.52</v>
      </c>
      <c r="AD8" s="12"/>
    </row>
    <row r="9" spans="1:30" x14ac:dyDescent="0.25">
      <c r="A9" s="7">
        <f>standard!A9</f>
        <v>0</v>
      </c>
      <c r="B9" s="7">
        <f>standard!B9</f>
        <v>5.5839999999999996</v>
      </c>
      <c r="C9" s="7">
        <f>standard!C9</f>
        <v>8.6920000000000002</v>
      </c>
      <c r="D9" s="7">
        <f>standard!D9</f>
        <v>1100.768</v>
      </c>
      <c r="E9" s="7">
        <f>standard!E9</f>
        <v>3</v>
      </c>
      <c r="F9" s="14">
        <f>standard!F9</f>
        <v>20.388034009999998</v>
      </c>
      <c r="G9" s="2">
        <f>standard!G9</f>
        <v>20.27</v>
      </c>
      <c r="H9" s="42">
        <f>standard!H9</f>
        <v>48.866298819999997</v>
      </c>
      <c r="I9" s="2">
        <f>standard!I9</f>
        <v>47.3</v>
      </c>
      <c r="J9" s="43">
        <f>standard!J9</f>
        <v>0.34244151299999998</v>
      </c>
      <c r="K9" s="2">
        <f>standard!K9</f>
        <v>1.1000000000000001</v>
      </c>
      <c r="L9" s="14">
        <f>standard!L9</f>
        <v>0.48105773600000001</v>
      </c>
      <c r="M9" s="2">
        <f>standard!M9</f>
        <v>1.33</v>
      </c>
      <c r="N9" s="12">
        <f>standard!N9</f>
        <v>6229.1070900000004</v>
      </c>
      <c r="O9">
        <f>standard!O9</f>
        <v>6579</v>
      </c>
      <c r="P9" s="19">
        <f t="shared" si="0"/>
        <v>349.89290999999957</v>
      </c>
      <c r="Q9" s="43">
        <v>5.5395067600000001</v>
      </c>
      <c r="R9">
        <v>4.75</v>
      </c>
      <c r="S9" s="16">
        <v>3232.386352</v>
      </c>
      <c r="T9">
        <v>3142</v>
      </c>
      <c r="V9" s="2"/>
      <c r="W9" s="43"/>
      <c r="Y9" s="16">
        <v>43.264019490000003</v>
      </c>
      <c r="Z9" s="2">
        <v>43.45</v>
      </c>
      <c r="AA9" s="16">
        <v>42.084109349999999</v>
      </c>
      <c r="AB9" s="2">
        <v>47.65</v>
      </c>
      <c r="AD9" s="12"/>
    </row>
    <row r="10" spans="1:30" x14ac:dyDescent="0.25">
      <c r="A10" s="7">
        <f>standard!A10</f>
        <v>0</v>
      </c>
      <c r="B10" s="7">
        <f>standard!B10</f>
        <v>5.5839999999999996</v>
      </c>
      <c r="C10" s="7">
        <f>standard!C10</f>
        <v>8.6920000000000002</v>
      </c>
      <c r="D10" s="7">
        <f>standard!D10</f>
        <v>1100.768</v>
      </c>
      <c r="E10" s="7">
        <f>standard!E10</f>
        <v>4</v>
      </c>
      <c r="F10" s="14">
        <f>standard!F10</f>
        <v>20.388034009999998</v>
      </c>
      <c r="G10" s="2">
        <f>standard!G10</f>
        <v>20.27</v>
      </c>
      <c r="H10" s="42">
        <f>standard!H10</f>
        <v>48.864307539999999</v>
      </c>
      <c r="I10" s="2">
        <f>standard!I10</f>
        <v>47.3</v>
      </c>
      <c r="J10" s="43">
        <f>standard!J10</f>
        <v>0.22207626999999999</v>
      </c>
      <c r="K10" s="2">
        <f>standard!K10</f>
        <v>1.1000000000000001</v>
      </c>
      <c r="L10" s="14">
        <f>standard!L10</f>
        <v>0.480957737</v>
      </c>
      <c r="M10" s="2">
        <f>standard!M10</f>
        <v>1.33</v>
      </c>
      <c r="N10" s="12">
        <f>standard!N10</f>
        <v>6226.0387190000001</v>
      </c>
      <c r="O10">
        <f>standard!O10</f>
        <v>6571</v>
      </c>
      <c r="P10" s="19">
        <f t="shared" si="0"/>
        <v>344.96128099999987</v>
      </c>
      <c r="Q10" s="43">
        <v>6.1388341520000003</v>
      </c>
      <c r="R10">
        <v>4.75</v>
      </c>
      <c r="S10" s="16">
        <v>4310.6987909999998</v>
      </c>
      <c r="T10">
        <v>4199</v>
      </c>
      <c r="V10" s="2"/>
      <c r="W10" s="43"/>
      <c r="Y10" s="16">
        <v>42.435854890000002</v>
      </c>
      <c r="Z10" s="2">
        <v>45.49</v>
      </c>
      <c r="AA10" s="16">
        <v>41.425966719999998</v>
      </c>
      <c r="AB10" s="2">
        <v>48.39</v>
      </c>
      <c r="AD10" s="12"/>
    </row>
    <row r="11" spans="1:30" x14ac:dyDescent="0.25">
      <c r="A11" s="7">
        <f>standard!A11</f>
        <v>0</v>
      </c>
      <c r="B11" s="7">
        <f>standard!B11</f>
        <v>5.5839999999999996</v>
      </c>
      <c r="C11" s="7">
        <f>standard!C11</f>
        <v>8.6920000000000002</v>
      </c>
      <c r="D11" s="7">
        <f>standard!D11</f>
        <v>1100.768</v>
      </c>
      <c r="E11" s="7">
        <f>standard!E11</f>
        <v>5</v>
      </c>
      <c r="F11" s="14">
        <f>standard!F11</f>
        <v>20.388034009999998</v>
      </c>
      <c r="G11" s="2">
        <f>standard!G11</f>
        <v>20.27</v>
      </c>
      <c r="H11" s="42">
        <f>standard!H11</f>
        <v>48.862230660000002</v>
      </c>
      <c r="I11" s="2">
        <f>standard!I11</f>
        <v>47.3</v>
      </c>
      <c r="J11" s="43">
        <f>standard!J11</f>
        <v>0.11444939899999999</v>
      </c>
      <c r="K11" s="2">
        <f>standard!K11</f>
        <v>1.1000000000000001</v>
      </c>
      <c r="L11" s="14">
        <f>standard!L11</f>
        <v>0.48090359900000001</v>
      </c>
      <c r="M11" s="2">
        <f>standard!M11</f>
        <v>1.33</v>
      </c>
      <c r="N11" s="12">
        <f>standard!N11</f>
        <v>6222.7352279999996</v>
      </c>
      <c r="O11">
        <f>standard!O11</f>
        <v>6557</v>
      </c>
      <c r="P11" s="19">
        <f t="shared" si="0"/>
        <v>334.26477200000045</v>
      </c>
      <c r="Q11" s="43">
        <v>6.8326007879999997</v>
      </c>
      <c r="R11">
        <v>4.75</v>
      </c>
      <c r="S11" s="16">
        <v>5401.3001729999996</v>
      </c>
      <c r="T11">
        <v>5147</v>
      </c>
      <c r="V11" s="2"/>
      <c r="W11" s="43"/>
      <c r="Y11" s="16">
        <v>40.797463839999999</v>
      </c>
      <c r="Z11" s="2">
        <v>48.01</v>
      </c>
      <c r="AA11" s="16">
        <v>40.365502990000003</v>
      </c>
      <c r="AB11" s="2">
        <v>49.28</v>
      </c>
      <c r="AD11" s="12"/>
    </row>
    <row r="12" spans="1:30" x14ac:dyDescent="0.25">
      <c r="A12" s="7">
        <f>standard!A12</f>
        <v>0</v>
      </c>
      <c r="B12" s="7">
        <f>standard!B12</f>
        <v>5.5839999999999996</v>
      </c>
      <c r="C12" s="7">
        <f>standard!C12</f>
        <v>8.6920000000000002</v>
      </c>
      <c r="D12" s="7">
        <f>standard!D12</f>
        <v>1100.768</v>
      </c>
      <c r="E12" s="7">
        <f>standard!E12</f>
        <v>6</v>
      </c>
      <c r="F12" s="14">
        <f>standard!F12</f>
        <v>20.388034009999998</v>
      </c>
      <c r="G12" s="2">
        <f>standard!G12</f>
        <v>20.27</v>
      </c>
      <c r="H12" s="42">
        <f>standard!H12</f>
        <v>48.860186859999999</v>
      </c>
      <c r="I12" s="2">
        <f>standard!I12</f>
        <v>47.3</v>
      </c>
      <c r="J12" s="43">
        <f>standard!J12</f>
        <v>1.7840444E-2</v>
      </c>
      <c r="K12" s="2">
        <f>standard!K12</f>
        <v>1.1000000000000001</v>
      </c>
      <c r="L12" s="14">
        <f>standard!L12</f>
        <v>0.48094787</v>
      </c>
      <c r="M12" s="2">
        <f>standard!M12</f>
        <v>1.33</v>
      </c>
      <c r="N12" s="12">
        <f>standard!N12</f>
        <v>6219.4405980000001</v>
      </c>
      <c r="O12">
        <f>standard!O12</f>
        <v>6551</v>
      </c>
      <c r="P12" s="19">
        <f t="shared" si="0"/>
        <v>331.55940199999986</v>
      </c>
      <c r="Q12" s="43">
        <v>7.5949708820000001</v>
      </c>
      <c r="R12">
        <v>4.75</v>
      </c>
      <c r="S12" s="16">
        <v>6500.8549080000003</v>
      </c>
      <c r="T12">
        <v>6162</v>
      </c>
      <c r="V12" s="2"/>
      <c r="W12" s="43"/>
      <c r="Y12" s="16">
        <v>39.89552664</v>
      </c>
      <c r="Z12" s="2">
        <v>48.83</v>
      </c>
      <c r="AA12" s="16">
        <v>39.649486439999997</v>
      </c>
      <c r="AB12" s="2">
        <v>49.6</v>
      </c>
      <c r="AD12" s="12"/>
    </row>
    <row r="13" spans="1:30" x14ac:dyDescent="0.25">
      <c r="A13" s="7">
        <f>standard!A13</f>
        <v>0</v>
      </c>
      <c r="B13" s="7">
        <f>standard!B13</f>
        <v>5.5839999999999996</v>
      </c>
      <c r="C13" s="7">
        <f>standard!C13</f>
        <v>8.6920000000000002</v>
      </c>
      <c r="D13" s="7">
        <f>standard!D13</f>
        <v>1100.768</v>
      </c>
      <c r="E13" s="7">
        <f>standard!E13</f>
        <v>7</v>
      </c>
      <c r="F13" s="14">
        <f>standard!F13</f>
        <v>20.388034009999998</v>
      </c>
      <c r="G13" s="2">
        <f>standard!G13</f>
        <v>20.27</v>
      </c>
      <c r="H13" s="42">
        <f>standard!H13</f>
        <v>48.858264140000003</v>
      </c>
      <c r="I13" s="2">
        <f>standard!I13</f>
        <v>47.3</v>
      </c>
      <c r="J13" s="43">
        <f>standard!J13</f>
        <v>-6.9159519000000003E-2</v>
      </c>
      <c r="K13" s="2">
        <f>standard!K13</f>
        <v>1.1000000000000001</v>
      </c>
      <c r="L13" s="14">
        <f>standard!L13</f>
        <v>0.48017868400000002</v>
      </c>
      <c r="M13" s="2">
        <f>standard!M13</f>
        <v>1.33</v>
      </c>
      <c r="N13" s="12">
        <f>standard!N13</f>
        <v>6216.4995330000002</v>
      </c>
      <c r="O13">
        <f>standard!O13</f>
        <v>6536</v>
      </c>
      <c r="P13" s="19">
        <f t="shared" si="0"/>
        <v>319.50046699999984</v>
      </c>
      <c r="Q13" s="43">
        <v>8.4073022900000005</v>
      </c>
      <c r="R13">
        <v>4.75</v>
      </c>
      <c r="S13" s="16">
        <v>7613.5944810000001</v>
      </c>
      <c r="T13">
        <v>7514</v>
      </c>
      <c r="V13" s="2"/>
      <c r="W13" s="43"/>
      <c r="Y13" s="16">
        <v>38.868678590000002</v>
      </c>
      <c r="Z13" s="2">
        <v>52.17</v>
      </c>
      <c r="AA13" s="16">
        <v>38.883853799999997</v>
      </c>
      <c r="AB13" s="2">
        <v>50.1</v>
      </c>
      <c r="AD13" s="12"/>
    </row>
    <row r="14" spans="1:30" x14ac:dyDescent="0.25">
      <c r="A14" s="7">
        <f>standard!A14</f>
        <v>0</v>
      </c>
      <c r="B14" s="7">
        <f>standard!B14</f>
        <v>5.5839999999999996</v>
      </c>
      <c r="C14" s="7">
        <f>standard!C14</f>
        <v>8.6920000000000002</v>
      </c>
      <c r="D14" s="7">
        <f>standard!D14</f>
        <v>1100.768</v>
      </c>
      <c r="E14" s="7">
        <f>standard!E14</f>
        <v>8</v>
      </c>
      <c r="F14" s="14">
        <f>standard!F14</f>
        <v>20.388034009999998</v>
      </c>
      <c r="G14" s="2">
        <f>standard!G14</f>
        <v>20.27</v>
      </c>
      <c r="H14" s="42">
        <f>standard!H14</f>
        <v>48.856524190000002</v>
      </c>
      <c r="I14" s="2">
        <f>standard!I14</f>
        <v>47.3</v>
      </c>
      <c r="J14" s="43">
        <f>standard!J14</f>
        <v>-0.14773077700000001</v>
      </c>
      <c r="K14" s="2">
        <f>standard!K14</f>
        <v>1.1000000000000001</v>
      </c>
      <c r="L14" s="14">
        <f>standard!L14</f>
        <v>0.47964391200000001</v>
      </c>
      <c r="M14" s="2">
        <f>standard!M14</f>
        <v>1.33</v>
      </c>
      <c r="N14" s="12">
        <f>standard!N14</f>
        <v>6214.1530720000001</v>
      </c>
      <c r="O14">
        <f>standard!O14</f>
        <v>6496</v>
      </c>
      <c r="P14" s="19">
        <f t="shared" si="0"/>
        <v>281.84692799999993</v>
      </c>
      <c r="Q14" s="43">
        <v>9.2564507930000008</v>
      </c>
      <c r="R14">
        <v>4.75</v>
      </c>
      <c r="S14" s="16">
        <v>8740.3700179999996</v>
      </c>
      <c r="T14">
        <v>8210</v>
      </c>
      <c r="V14" s="2"/>
      <c r="W14" s="43"/>
      <c r="Y14" s="16">
        <v>38.054531990000001</v>
      </c>
      <c r="Z14" s="2">
        <v>57.24</v>
      </c>
      <c r="AA14" s="16">
        <v>38.253305519999998</v>
      </c>
      <c r="AB14" s="2">
        <v>51.67</v>
      </c>
      <c r="AD14" s="12"/>
    </row>
    <row r="15" spans="1:30" x14ac:dyDescent="0.25">
      <c r="A15" s="7">
        <f>standard!A15</f>
        <v>2</v>
      </c>
      <c r="B15" s="7">
        <f>standard!B15</f>
        <v>7.5839999999999996</v>
      </c>
      <c r="C15" s="7">
        <f>standard!C15</f>
        <v>10.692</v>
      </c>
      <c r="D15" s="7">
        <f>standard!D15</f>
        <v>893.20799999999997</v>
      </c>
      <c r="E15" s="7">
        <f>standard!E15</f>
        <v>0</v>
      </c>
      <c r="F15" s="14">
        <f>standard!F15</f>
        <v>17.81111997</v>
      </c>
      <c r="G15" s="2">
        <f>standard!G15</f>
        <v>17.71</v>
      </c>
      <c r="H15" s="42">
        <f>standard!H15</f>
        <v>45.537066209999999</v>
      </c>
      <c r="I15" s="2">
        <f>standard!I15</f>
        <v>44</v>
      </c>
      <c r="J15" s="43">
        <f>standard!J15</f>
        <v>1.941008657</v>
      </c>
      <c r="K15" s="2">
        <f>standard!K15</f>
        <v>2.2400000000000002</v>
      </c>
      <c r="L15" s="14">
        <f>standard!L15</f>
        <v>2.6635302620000001</v>
      </c>
      <c r="M15" s="2">
        <f>standard!M15</f>
        <v>3.09</v>
      </c>
      <c r="N15" s="12">
        <f>standard!N15</f>
        <v>6109.7361849999998</v>
      </c>
      <c r="O15">
        <f>standard!O15</f>
        <v>6419</v>
      </c>
      <c r="P15" s="19">
        <f t="shared" si="0"/>
        <v>309.26381500000025</v>
      </c>
      <c r="Q15" s="43">
        <v>5.1786589300000001</v>
      </c>
      <c r="R15">
        <v>5.26</v>
      </c>
      <c r="S15" s="16">
        <v>390.88534040000002</v>
      </c>
      <c r="T15">
        <v>416</v>
      </c>
      <c r="U15" s="12">
        <f>MIN(S15:T23)</f>
        <v>390.88534040000002</v>
      </c>
      <c r="V15" s="19">
        <f>MAX(S15:T23)</f>
        <v>7223.0797629999997</v>
      </c>
      <c r="W15" s="43"/>
      <c r="Y15" s="16">
        <v>32.245906099999999</v>
      </c>
      <c r="Z15" s="2">
        <v>35.03</v>
      </c>
      <c r="AA15" s="16">
        <v>40.734556990000002</v>
      </c>
      <c r="AB15" s="2">
        <v>47.01</v>
      </c>
      <c r="AD15" s="12"/>
    </row>
    <row r="16" spans="1:30" x14ac:dyDescent="0.25">
      <c r="A16" s="7">
        <f>standard!A16</f>
        <v>2</v>
      </c>
      <c r="B16" s="7">
        <f>standard!B16</f>
        <v>7.5839999999999996</v>
      </c>
      <c r="C16" s="7">
        <f>standard!C16</f>
        <v>10.692</v>
      </c>
      <c r="D16" s="7">
        <f>standard!D16</f>
        <v>893.20799999999997</v>
      </c>
      <c r="E16" s="7">
        <f>standard!E16</f>
        <v>1</v>
      </c>
      <c r="F16" s="14">
        <f>standard!F16</f>
        <v>17.81111997</v>
      </c>
      <c r="G16" s="2">
        <f>standard!G16</f>
        <v>17.71</v>
      </c>
      <c r="H16" s="42">
        <f>standard!H16</f>
        <v>45.536568449999997</v>
      </c>
      <c r="I16" s="2">
        <f>standard!I16</f>
        <v>44</v>
      </c>
      <c r="J16" s="43">
        <f>standard!J16</f>
        <v>1.7589557199999999</v>
      </c>
      <c r="K16" s="2">
        <f>standard!K16</f>
        <v>2.2400000000000002</v>
      </c>
      <c r="L16" s="14">
        <f>standard!L16</f>
        <v>2.6635607910000001</v>
      </c>
      <c r="M16" s="2">
        <f>standard!M16</f>
        <v>3.1</v>
      </c>
      <c r="N16" s="12">
        <f>standard!N16</f>
        <v>6108.7808409999998</v>
      </c>
      <c r="O16">
        <f>standard!O16</f>
        <v>6418</v>
      </c>
      <c r="P16" s="19">
        <f t="shared" si="0"/>
        <v>309.21915900000022</v>
      </c>
      <c r="Q16" s="43">
        <v>5.2742256630000002</v>
      </c>
      <c r="R16">
        <v>5.26</v>
      </c>
      <c r="S16" s="16">
        <v>997.04506030000005</v>
      </c>
      <c r="T16">
        <v>1004</v>
      </c>
      <c r="V16" s="2"/>
      <c r="W16" s="43"/>
      <c r="Y16" s="16">
        <v>33.23012696</v>
      </c>
      <c r="Z16" s="2">
        <v>35.46</v>
      </c>
      <c r="AA16" s="16">
        <v>41.305217300000002</v>
      </c>
      <c r="AB16" s="2">
        <v>47.24</v>
      </c>
      <c r="AD16" s="12"/>
    </row>
    <row r="17" spans="1:30" x14ac:dyDescent="0.25">
      <c r="A17" s="7">
        <f>standard!A17</f>
        <v>2</v>
      </c>
      <c r="B17" s="7">
        <f>standard!B17</f>
        <v>7.5839999999999996</v>
      </c>
      <c r="C17" s="7">
        <f>standard!C17</f>
        <v>10.692</v>
      </c>
      <c r="D17" s="7">
        <f>standard!D17</f>
        <v>893.20799999999997</v>
      </c>
      <c r="E17" s="7">
        <f>standard!E17</f>
        <v>2</v>
      </c>
      <c r="F17" s="14">
        <f>standard!F17</f>
        <v>17.81111997</v>
      </c>
      <c r="G17" s="2">
        <f>standard!G17</f>
        <v>17.71</v>
      </c>
      <c r="H17" s="42">
        <f>standard!H17</f>
        <v>45.535376650000003</v>
      </c>
      <c r="I17" s="2">
        <f>standard!I17</f>
        <v>44</v>
      </c>
      <c r="J17" s="43">
        <f>standard!J17</f>
        <v>1.5975929099999999</v>
      </c>
      <c r="K17" s="2">
        <f>standard!K17</f>
        <v>2.2400000000000002</v>
      </c>
      <c r="L17" s="14">
        <f>standard!L17</f>
        <v>2.6635431679999999</v>
      </c>
      <c r="M17" s="2">
        <f>standard!M17</f>
        <v>3.09</v>
      </c>
      <c r="N17" s="12">
        <f>standard!N17</f>
        <v>6106.0165450000004</v>
      </c>
      <c r="O17">
        <f>standard!O17</f>
        <v>6414</v>
      </c>
      <c r="P17" s="19">
        <f t="shared" si="0"/>
        <v>307.98345499999959</v>
      </c>
      <c r="Q17" s="43">
        <v>5.5512525159999999</v>
      </c>
      <c r="R17">
        <v>5.26</v>
      </c>
      <c r="S17" s="16">
        <v>1861.3980750000001</v>
      </c>
      <c r="T17">
        <v>1872</v>
      </c>
      <c r="V17" s="2"/>
      <c r="W17" s="43"/>
      <c r="Y17" s="16">
        <v>37.141929660000002</v>
      </c>
      <c r="Z17" s="2">
        <v>36.909999999999997</v>
      </c>
      <c r="AA17" s="16">
        <v>43.486028939999997</v>
      </c>
      <c r="AB17" s="2">
        <v>47.96</v>
      </c>
      <c r="AD17" s="12"/>
    </row>
    <row r="18" spans="1:30" x14ac:dyDescent="0.25">
      <c r="A18" s="7">
        <f>standard!A18</f>
        <v>2</v>
      </c>
      <c r="B18" s="7">
        <f>standard!B18</f>
        <v>7.5839999999999996</v>
      </c>
      <c r="C18" s="7">
        <f>standard!C18</f>
        <v>10.692</v>
      </c>
      <c r="D18" s="7">
        <f>standard!D18</f>
        <v>893.20799999999997</v>
      </c>
      <c r="E18" s="7">
        <f>standard!E18</f>
        <v>3</v>
      </c>
      <c r="F18" s="14">
        <f>standard!F18</f>
        <v>17.81111997</v>
      </c>
      <c r="G18" s="2">
        <f>standard!G18</f>
        <v>17.71</v>
      </c>
      <c r="H18" s="42">
        <f>standard!H18</f>
        <v>45.533785770000001</v>
      </c>
      <c r="I18" s="2">
        <f>standard!I18</f>
        <v>44</v>
      </c>
      <c r="J18" s="43">
        <f>standard!J18</f>
        <v>1.4556459429999999</v>
      </c>
      <c r="K18" s="2">
        <f>standard!K18</f>
        <v>2.2400000000000002</v>
      </c>
      <c r="L18" s="14">
        <f>standard!L18</f>
        <v>2.6634473509999999</v>
      </c>
      <c r="M18" s="2">
        <f>standard!M18</f>
        <v>3.1</v>
      </c>
      <c r="N18" s="12">
        <f>standard!N18</f>
        <v>6101.536169</v>
      </c>
      <c r="O18">
        <f>standard!O18</f>
        <v>6403</v>
      </c>
      <c r="P18" s="19">
        <f t="shared" si="0"/>
        <v>301.46383100000003</v>
      </c>
      <c r="Q18" s="43">
        <v>5.9845928920000002</v>
      </c>
      <c r="R18">
        <v>5.26</v>
      </c>
      <c r="S18" s="16">
        <v>2748.9668059999999</v>
      </c>
      <c r="T18">
        <v>2659</v>
      </c>
      <c r="V18" s="2"/>
      <c r="W18" s="43"/>
      <c r="Y18" s="16">
        <v>41.997706280000003</v>
      </c>
      <c r="Z18" s="2">
        <v>39.33</v>
      </c>
      <c r="AA18" s="16">
        <v>45.92314786</v>
      </c>
      <c r="AB18" s="2">
        <v>49.14</v>
      </c>
      <c r="AD18" s="12"/>
    </row>
    <row r="19" spans="1:30" x14ac:dyDescent="0.25">
      <c r="A19" s="7">
        <f>standard!A19</f>
        <v>2</v>
      </c>
      <c r="B19" s="7">
        <f>standard!B19</f>
        <v>7.5839999999999996</v>
      </c>
      <c r="C19" s="7">
        <f>standard!C19</f>
        <v>10.692</v>
      </c>
      <c r="D19" s="7">
        <f>standard!D19</f>
        <v>893.20799999999997</v>
      </c>
      <c r="E19" s="7">
        <f>standard!E19</f>
        <v>4</v>
      </c>
      <c r="F19" s="14">
        <f>standard!F19</f>
        <v>17.81111997</v>
      </c>
      <c r="G19" s="2">
        <f>standard!G19</f>
        <v>17.71</v>
      </c>
      <c r="H19" s="42">
        <f>standard!H19</f>
        <v>45.532001540000003</v>
      </c>
      <c r="I19" s="2">
        <f>standard!I19</f>
        <v>44</v>
      </c>
      <c r="J19" s="43">
        <f>standard!J19</f>
        <v>1.3301655809999999</v>
      </c>
      <c r="K19" s="2">
        <f>standard!K19</f>
        <v>2.2400000000000002</v>
      </c>
      <c r="L19" s="14">
        <f>standard!L19</f>
        <v>2.6628074590000002</v>
      </c>
      <c r="M19" s="2">
        <f>standard!M19</f>
        <v>3.1</v>
      </c>
      <c r="N19" s="12">
        <f>standard!N19</f>
        <v>6095.404117</v>
      </c>
      <c r="O19">
        <f>standard!O19</f>
        <v>6394</v>
      </c>
      <c r="P19" s="19">
        <f t="shared" si="0"/>
        <v>298.59588299999996</v>
      </c>
      <c r="Q19" s="43">
        <v>6.5432636860000004</v>
      </c>
      <c r="R19">
        <v>5.26</v>
      </c>
      <c r="S19" s="16">
        <v>3642.034897</v>
      </c>
      <c r="T19">
        <v>3557</v>
      </c>
      <c r="V19" s="2"/>
      <c r="W19" s="43"/>
      <c r="Y19" s="16">
        <v>45.854249490000001</v>
      </c>
      <c r="Z19" s="2">
        <v>41.09</v>
      </c>
      <c r="AA19" s="16">
        <v>47.615533759999998</v>
      </c>
      <c r="AB19" s="2">
        <v>49.8</v>
      </c>
      <c r="AD19" s="12"/>
    </row>
    <row r="20" spans="1:30" x14ac:dyDescent="0.25">
      <c r="A20" s="7">
        <f>standard!A20</f>
        <v>2</v>
      </c>
      <c r="B20" s="7">
        <f>standard!B20</f>
        <v>7.5839999999999996</v>
      </c>
      <c r="C20" s="7">
        <f>standard!C20</f>
        <v>10.692</v>
      </c>
      <c r="D20" s="7">
        <f>standard!D20</f>
        <v>893.20799999999997</v>
      </c>
      <c r="E20" s="7">
        <f>standard!E20</f>
        <v>5</v>
      </c>
      <c r="F20" s="14">
        <f>standard!F20</f>
        <v>17.81111997</v>
      </c>
      <c r="G20" s="2">
        <f>standard!G20</f>
        <v>17.71</v>
      </c>
      <c r="H20" s="42">
        <f>standard!H20</f>
        <v>45.530174780000003</v>
      </c>
      <c r="I20" s="2">
        <f>standard!I20</f>
        <v>44</v>
      </c>
      <c r="J20" s="43">
        <f>standard!J20</f>
        <v>1.218732098</v>
      </c>
      <c r="K20" s="2">
        <f>standard!K20</f>
        <v>2.2400000000000002</v>
      </c>
      <c r="L20" s="14">
        <f>standard!L20</f>
        <v>2.6627069329999999</v>
      </c>
      <c r="M20" s="2">
        <f>standard!M20</f>
        <v>3.09</v>
      </c>
      <c r="N20" s="12">
        <f>standard!N20</f>
        <v>6087.7073209999999</v>
      </c>
      <c r="O20">
        <f>standard!O20</f>
        <v>6376</v>
      </c>
      <c r="P20" s="19">
        <f t="shared" si="0"/>
        <v>288.29267900000013</v>
      </c>
      <c r="Q20" s="43">
        <v>7.1981419659999997</v>
      </c>
      <c r="R20">
        <v>5.26</v>
      </c>
      <c r="S20" s="16">
        <v>4537.9089350000004</v>
      </c>
      <c r="T20">
        <v>4347</v>
      </c>
      <c r="V20" s="2"/>
      <c r="W20" s="43"/>
      <c r="Y20" s="16">
        <v>48.606622250000001</v>
      </c>
      <c r="Z20" s="2">
        <v>43.86</v>
      </c>
      <c r="AA20" s="16">
        <v>48.631334389999999</v>
      </c>
      <c r="AB20" s="2">
        <v>50.79</v>
      </c>
      <c r="AD20" s="12"/>
    </row>
    <row r="21" spans="1:30" x14ac:dyDescent="0.25">
      <c r="A21" s="7">
        <f>standard!A21</f>
        <v>2</v>
      </c>
      <c r="B21" s="7">
        <f>standard!B21</f>
        <v>7.5839999999999996</v>
      </c>
      <c r="C21" s="7">
        <f>standard!C21</f>
        <v>10.692</v>
      </c>
      <c r="D21" s="7">
        <f>standard!D21</f>
        <v>893.20799999999997</v>
      </c>
      <c r="E21" s="7">
        <f>standard!E21</f>
        <v>6</v>
      </c>
      <c r="F21" s="14">
        <f>standard!F21</f>
        <v>17.811119959999999</v>
      </c>
      <c r="G21" s="2">
        <f>standard!G21</f>
        <v>17.71</v>
      </c>
      <c r="H21" s="42">
        <f>standard!H21</f>
        <v>45.528414920000003</v>
      </c>
      <c r="I21" s="2">
        <f>standard!I21</f>
        <v>44</v>
      </c>
      <c r="J21" s="43">
        <f>standard!J21</f>
        <v>1.1193481000000001</v>
      </c>
      <c r="K21" s="2">
        <f>standard!K21</f>
        <v>2.2400000000000002</v>
      </c>
      <c r="L21" s="14">
        <f>standard!L21</f>
        <v>2.6628248050000001</v>
      </c>
      <c r="M21" s="2">
        <f>standard!M21</f>
        <v>3.09</v>
      </c>
      <c r="N21" s="12">
        <f>standard!N21</f>
        <v>6078.5571319999999</v>
      </c>
      <c r="O21">
        <f>standard!O21</f>
        <v>6369</v>
      </c>
      <c r="P21" s="19">
        <f t="shared" si="0"/>
        <v>290.44286800000009</v>
      </c>
      <c r="Q21" s="43">
        <v>7.9254145569999999</v>
      </c>
      <c r="R21">
        <v>5.26</v>
      </c>
      <c r="S21" s="16">
        <v>5432.1897719999997</v>
      </c>
      <c r="T21">
        <v>5246</v>
      </c>
      <c r="V21" s="2"/>
      <c r="W21" s="43"/>
      <c r="Y21" s="16">
        <v>51.491245249999999</v>
      </c>
      <c r="Z21" s="2">
        <v>44.55</v>
      </c>
      <c r="AA21" s="16">
        <v>49.601290659999997</v>
      </c>
      <c r="AB21" s="2">
        <v>50.9</v>
      </c>
      <c r="AD21" s="12"/>
    </row>
    <row r="22" spans="1:30" x14ac:dyDescent="0.25">
      <c r="A22" s="7">
        <f>standard!A22</f>
        <v>2</v>
      </c>
      <c r="B22" s="7">
        <f>standard!B22</f>
        <v>7.5839999999999996</v>
      </c>
      <c r="C22" s="7">
        <f>standard!C22</f>
        <v>10.692</v>
      </c>
      <c r="D22" s="7">
        <f>standard!D22</f>
        <v>893.20799999999997</v>
      </c>
      <c r="E22" s="7">
        <f>standard!E22</f>
        <v>7</v>
      </c>
      <c r="F22" s="14">
        <f>standard!F22</f>
        <v>17.811119959999999</v>
      </c>
      <c r="G22" s="2">
        <f>standard!G22</f>
        <v>17.71</v>
      </c>
      <c r="H22" s="42">
        <f>standard!H22</f>
        <v>45.526799250000003</v>
      </c>
      <c r="I22" s="2">
        <f>standard!I22</f>
        <v>44</v>
      </c>
      <c r="J22" s="43">
        <f>standard!J22</f>
        <v>1.0303897399999999</v>
      </c>
      <c r="K22" s="2">
        <f>standard!K22</f>
        <v>2.2400000000000002</v>
      </c>
      <c r="L22" s="14">
        <f>standard!L22</f>
        <v>2.6625466599999998</v>
      </c>
      <c r="M22" s="2">
        <f>standard!M22</f>
        <v>3.09</v>
      </c>
      <c r="N22" s="12">
        <f>standard!N22</f>
        <v>6068.0084740000002</v>
      </c>
      <c r="O22">
        <f>standard!O22</f>
        <v>6351</v>
      </c>
      <c r="P22" s="19">
        <f t="shared" si="0"/>
        <v>282.99152599999979</v>
      </c>
      <c r="Q22" s="43">
        <v>8.7069595149999994</v>
      </c>
      <c r="R22">
        <v>5.26</v>
      </c>
      <c r="S22" s="16">
        <v>6328.1182660000004</v>
      </c>
      <c r="T22">
        <v>6368</v>
      </c>
      <c r="V22" s="2"/>
      <c r="W22" s="43"/>
      <c r="Y22" s="16">
        <v>53.46895653</v>
      </c>
      <c r="Z22" s="2">
        <v>47.87</v>
      </c>
      <c r="AA22" s="16">
        <v>50.026160580000003</v>
      </c>
      <c r="AB22" s="2">
        <v>51.64</v>
      </c>
      <c r="AD22" s="12"/>
    </row>
    <row r="23" spans="1:30" x14ac:dyDescent="0.25">
      <c r="A23" s="7">
        <f>standard!A23</f>
        <v>2</v>
      </c>
      <c r="B23" s="7">
        <f>standard!B23</f>
        <v>7.5839999999999996</v>
      </c>
      <c r="C23" s="7">
        <f>standard!C23</f>
        <v>10.692</v>
      </c>
      <c r="D23" s="7">
        <f>standard!D23</f>
        <v>893.20799999999997</v>
      </c>
      <c r="E23" s="7">
        <f>standard!E23</f>
        <v>8</v>
      </c>
      <c r="F23" s="14">
        <f>standard!F23</f>
        <v>17.811119959999999</v>
      </c>
      <c r="G23" s="2">
        <f>standard!G23</f>
        <v>17.71</v>
      </c>
      <c r="H23" s="42">
        <f>standard!H23</f>
        <v>45.5253789</v>
      </c>
      <c r="I23" s="2">
        <f>standard!I23</f>
        <v>44</v>
      </c>
      <c r="J23" s="43">
        <f>standard!J23</f>
        <v>0.95050921300000002</v>
      </c>
      <c r="K23" s="2">
        <f>standard!K23</f>
        <v>2.2400000000000002</v>
      </c>
      <c r="L23" s="14">
        <f>standard!L23</f>
        <v>2.6618744560000001</v>
      </c>
      <c r="M23" s="2">
        <f>standard!M23</f>
        <v>3.09</v>
      </c>
      <c r="N23" s="12">
        <f>standard!N23</f>
        <v>6056.229002</v>
      </c>
      <c r="O23">
        <f>standard!O23</f>
        <v>6300</v>
      </c>
      <c r="P23" s="19">
        <f t="shared" si="0"/>
        <v>243.77099799999996</v>
      </c>
      <c r="Q23" s="43">
        <v>9.5294329110000007</v>
      </c>
      <c r="R23">
        <v>5.26</v>
      </c>
      <c r="S23" s="16">
        <v>7223.0797629999997</v>
      </c>
      <c r="T23">
        <v>6918</v>
      </c>
      <c r="V23" s="2"/>
      <c r="W23" s="43"/>
      <c r="Y23" s="16">
        <v>55.502583270000002</v>
      </c>
      <c r="Z23" s="2">
        <v>53.34</v>
      </c>
      <c r="AA23" s="16">
        <v>50.396791319999998</v>
      </c>
      <c r="AB23" s="2">
        <v>53.9</v>
      </c>
      <c r="AD23" s="12"/>
    </row>
    <row r="24" spans="1:30" x14ac:dyDescent="0.25">
      <c r="A24" s="7">
        <f>standard!A24</f>
        <v>2.5</v>
      </c>
      <c r="B24" s="7">
        <f>standard!B24</f>
        <v>8.0839999999999996</v>
      </c>
      <c r="C24" s="7">
        <f>standard!C24</f>
        <v>11.192</v>
      </c>
      <c r="D24" s="7">
        <f>standard!D24</f>
        <v>857.36500000000001</v>
      </c>
      <c r="E24" s="7">
        <f>standard!E24</f>
        <v>0</v>
      </c>
      <c r="F24" s="14">
        <f>standard!F24</f>
        <v>17.249288480000001</v>
      </c>
      <c r="G24" s="2">
        <f>standard!G24</f>
        <v>17.170000000000002</v>
      </c>
      <c r="H24" s="42">
        <f>standard!H24</f>
        <v>44.031821620000002</v>
      </c>
      <c r="I24" s="2">
        <f>standard!I24</f>
        <v>43.3</v>
      </c>
      <c r="J24" s="43">
        <f>standard!J24</f>
        <v>2.179840161</v>
      </c>
      <c r="K24" s="2">
        <f>standard!K24</f>
        <v>2.4900000000000002</v>
      </c>
      <c r="L24" s="14">
        <f>standard!L24</f>
        <v>3.1166209829999998</v>
      </c>
      <c r="M24" s="2">
        <f>standard!M24</f>
        <v>3.45</v>
      </c>
      <c r="N24" s="12">
        <f>standard!N24</f>
        <v>6062.6230329999999</v>
      </c>
      <c r="O24">
        <f>standard!O24</f>
        <v>6361</v>
      </c>
      <c r="P24" s="19">
        <f t="shared" si="0"/>
        <v>298.37696700000015</v>
      </c>
      <c r="Q24" s="43">
        <v>5.3010378500000002</v>
      </c>
      <c r="R24">
        <v>5.39</v>
      </c>
      <c r="S24" s="16">
        <v>392.32535050000001</v>
      </c>
      <c r="T24">
        <v>419</v>
      </c>
      <c r="U24" s="12">
        <f>MIN(S24:T32)</f>
        <v>392.32535050000001</v>
      </c>
      <c r="V24" s="19">
        <f>MAX(S24:T32)</f>
        <v>6928.4684129999996</v>
      </c>
      <c r="W24" s="43"/>
      <c r="Y24" s="16">
        <v>34.508694470000002</v>
      </c>
      <c r="Z24" s="2">
        <v>34.18</v>
      </c>
      <c r="AA24" s="16">
        <v>42.968124549999999</v>
      </c>
      <c r="AB24" s="2">
        <v>47.26</v>
      </c>
      <c r="AD24" s="12"/>
    </row>
    <row r="25" spans="1:30" x14ac:dyDescent="0.25">
      <c r="A25" s="7">
        <f>standard!A25</f>
        <v>2.5</v>
      </c>
      <c r="B25" s="7">
        <f>standard!B25</f>
        <v>8.0839999999999996</v>
      </c>
      <c r="C25" s="7">
        <f>standard!C25</f>
        <v>11.192</v>
      </c>
      <c r="D25" s="7">
        <f>standard!D25</f>
        <v>857.36500000000001</v>
      </c>
      <c r="E25" s="7">
        <f>standard!E25</f>
        <v>1</v>
      </c>
      <c r="F25" s="14">
        <f>standard!F25</f>
        <v>17.249288480000001</v>
      </c>
      <c r="G25" s="2">
        <f>standard!G25</f>
        <v>17.170000000000002</v>
      </c>
      <c r="H25" s="42">
        <f>standard!H25</f>
        <v>44.031340520000001</v>
      </c>
      <c r="I25" s="2">
        <f>standard!I25</f>
        <v>43.3</v>
      </c>
      <c r="J25" s="43">
        <f>standard!J25</f>
        <v>1.9920113639999999</v>
      </c>
      <c r="K25" s="2">
        <f>standard!K25</f>
        <v>2.4900000000000002</v>
      </c>
      <c r="L25" s="14">
        <f>standard!L25</f>
        <v>3.1166119330000002</v>
      </c>
      <c r="M25" s="2">
        <f>standard!M25</f>
        <v>3.45</v>
      </c>
      <c r="N25" s="12">
        <f>standard!N25</f>
        <v>6061.6025419999996</v>
      </c>
      <c r="O25">
        <f>standard!O25</f>
        <v>6359</v>
      </c>
      <c r="P25" s="19">
        <f t="shared" si="0"/>
        <v>297.39745800000037</v>
      </c>
      <c r="Q25" s="43">
        <v>5.3944323220000001</v>
      </c>
      <c r="R25">
        <v>5.39</v>
      </c>
      <c r="S25" s="16">
        <v>965.59239049999996</v>
      </c>
      <c r="T25">
        <v>974</v>
      </c>
      <c r="V25" s="2"/>
      <c r="W25" s="43"/>
      <c r="Y25" s="16">
        <v>35.42229133</v>
      </c>
      <c r="Z25" s="2">
        <v>34.64</v>
      </c>
      <c r="AA25" s="16">
        <v>43.487980309999998</v>
      </c>
      <c r="AB25" s="2">
        <v>47.5</v>
      </c>
      <c r="AD25" s="12"/>
    </row>
    <row r="26" spans="1:30" x14ac:dyDescent="0.25">
      <c r="A26" s="7">
        <f>standard!A26</f>
        <v>2.5</v>
      </c>
      <c r="B26" s="7">
        <f>standard!B26</f>
        <v>8.0839999999999996</v>
      </c>
      <c r="C26" s="7">
        <f>standard!C26</f>
        <v>11.192</v>
      </c>
      <c r="D26" s="7">
        <f>standard!D26</f>
        <v>857.36500000000001</v>
      </c>
      <c r="E26" s="7">
        <f>standard!E26</f>
        <v>2</v>
      </c>
      <c r="F26" s="14">
        <f>standard!F26</f>
        <v>17.249288480000001</v>
      </c>
      <c r="G26" s="2">
        <f>standard!G26</f>
        <v>17.170000000000002</v>
      </c>
      <c r="H26" s="42">
        <f>standard!H26</f>
        <v>44.03019578</v>
      </c>
      <c r="I26" s="2">
        <f>standard!I26</f>
        <v>43.3</v>
      </c>
      <c r="J26" s="43">
        <f>standard!J26</f>
        <v>1.8262553029999999</v>
      </c>
      <c r="K26" s="2">
        <f>standard!K26</f>
        <v>2.4900000000000002</v>
      </c>
      <c r="L26" s="14">
        <f>standard!L26</f>
        <v>3.1166471439999999</v>
      </c>
      <c r="M26" s="2">
        <f>standard!M26</f>
        <v>3.45</v>
      </c>
      <c r="N26" s="12">
        <f>standard!N26</f>
        <v>6058.6381270000002</v>
      </c>
      <c r="O26">
        <f>standard!O26</f>
        <v>6355</v>
      </c>
      <c r="P26" s="19">
        <f t="shared" si="0"/>
        <v>296.36187299999983</v>
      </c>
      <c r="Q26" s="43">
        <v>5.6655800960000002</v>
      </c>
      <c r="R26">
        <v>5.39</v>
      </c>
      <c r="S26" s="16">
        <v>1793.022027</v>
      </c>
      <c r="T26">
        <v>1803</v>
      </c>
      <c r="V26" s="2"/>
      <c r="W26" s="43"/>
      <c r="Y26" s="16">
        <v>38.339007680000002</v>
      </c>
      <c r="Z26" s="2">
        <v>36.04</v>
      </c>
      <c r="AA26" s="16">
        <v>45.05512598</v>
      </c>
      <c r="AB26" s="2">
        <v>48.22</v>
      </c>
      <c r="AD26" s="12"/>
    </row>
    <row r="27" spans="1:30" x14ac:dyDescent="0.25">
      <c r="A27" s="7">
        <f>standard!A27</f>
        <v>2.5</v>
      </c>
      <c r="B27" s="7">
        <f>standard!B27</f>
        <v>8.0839999999999996</v>
      </c>
      <c r="C27" s="7">
        <f>standard!C27</f>
        <v>11.192</v>
      </c>
      <c r="D27" s="7">
        <f>standard!D27</f>
        <v>857.36500000000001</v>
      </c>
      <c r="E27" s="7">
        <f>standard!E27</f>
        <v>3</v>
      </c>
      <c r="F27" s="14">
        <f>standard!F27</f>
        <v>17.249288480000001</v>
      </c>
      <c r="G27" s="2">
        <f>standard!G27</f>
        <v>17.170000000000002</v>
      </c>
      <c r="H27" s="42">
        <f>standard!H27</f>
        <v>44.028678620000001</v>
      </c>
      <c r="I27" s="2">
        <f>standard!I27</f>
        <v>43.3</v>
      </c>
      <c r="J27" s="43">
        <f>standard!J27</f>
        <v>1.68102782</v>
      </c>
      <c r="K27" s="2">
        <f>standard!K27</f>
        <v>2.4900000000000002</v>
      </c>
      <c r="L27" s="14">
        <f>standard!L27</f>
        <v>3.116049522</v>
      </c>
      <c r="M27" s="2">
        <f>standard!M27</f>
        <v>3.45</v>
      </c>
      <c r="N27" s="12">
        <f>standard!N27</f>
        <v>6053.7758670000003</v>
      </c>
      <c r="O27">
        <f>standard!O27</f>
        <v>6344</v>
      </c>
      <c r="P27" s="19">
        <f t="shared" si="0"/>
        <v>290.22413299999971</v>
      </c>
      <c r="Q27" s="43">
        <v>6.0907877609999996</v>
      </c>
      <c r="R27">
        <v>5.39</v>
      </c>
      <c r="S27" s="16">
        <v>2644.2708309999998</v>
      </c>
      <c r="T27">
        <v>2556</v>
      </c>
      <c r="V27" s="2"/>
      <c r="W27" s="43"/>
      <c r="Y27" s="16">
        <v>41.916189600000003</v>
      </c>
      <c r="Z27" s="2">
        <v>38.33</v>
      </c>
      <c r="AA27" s="16">
        <v>46.791426319999999</v>
      </c>
      <c r="AB27" s="2">
        <v>49.38</v>
      </c>
      <c r="AD27" s="12"/>
    </row>
    <row r="28" spans="1:30" x14ac:dyDescent="0.25">
      <c r="A28" s="7">
        <f>standard!A28</f>
        <v>2.5</v>
      </c>
      <c r="B28" s="7">
        <f>standard!B28</f>
        <v>8.0839999999999996</v>
      </c>
      <c r="C28" s="7">
        <f>standard!C28</f>
        <v>11.192</v>
      </c>
      <c r="D28" s="7">
        <f>standard!D28</f>
        <v>857.36500000000001</v>
      </c>
      <c r="E28" s="7">
        <f>standard!E28</f>
        <v>4</v>
      </c>
      <c r="F28" s="14">
        <f>standard!F28</f>
        <v>17.249288480000001</v>
      </c>
      <c r="G28" s="2">
        <f>standard!G28</f>
        <v>17.170000000000002</v>
      </c>
      <c r="H28" s="42">
        <f>standard!H28</f>
        <v>44.026991070000001</v>
      </c>
      <c r="I28" s="2">
        <f>standard!I28</f>
        <v>43.3</v>
      </c>
      <c r="J28" s="43">
        <f>standard!J28</f>
        <v>1.5531189990000001</v>
      </c>
      <c r="K28" s="2">
        <f>standard!K28</f>
        <v>2.4900000000000002</v>
      </c>
      <c r="L28" s="14">
        <f>standard!L28</f>
        <v>3.115984396</v>
      </c>
      <c r="M28" s="2">
        <f>standard!M28</f>
        <v>3.45</v>
      </c>
      <c r="N28" s="12">
        <f>standard!N28</f>
        <v>6047.1029660000004</v>
      </c>
      <c r="O28">
        <f>standard!O28</f>
        <v>6334</v>
      </c>
      <c r="P28" s="19">
        <f t="shared" si="0"/>
        <v>286.89703399999962</v>
      </c>
      <c r="Q28" s="43">
        <v>6.640526511</v>
      </c>
      <c r="R28">
        <v>5.39</v>
      </c>
      <c r="S28" s="16">
        <v>3500.5939039999998</v>
      </c>
      <c r="T28">
        <v>3418</v>
      </c>
      <c r="V28" s="2"/>
      <c r="W28" s="43"/>
      <c r="Y28" s="16">
        <v>45.472892680000001</v>
      </c>
      <c r="Z28" s="2">
        <v>39.97</v>
      </c>
      <c r="AA28" s="16">
        <v>48.373286630000003</v>
      </c>
      <c r="AB28" s="2">
        <v>49.98</v>
      </c>
      <c r="AD28" s="12"/>
    </row>
    <row r="29" spans="1:30" x14ac:dyDescent="0.25">
      <c r="A29" s="7">
        <f>standard!A29</f>
        <v>2.5</v>
      </c>
      <c r="B29" s="7">
        <f>standard!B29</f>
        <v>8.0839999999999996</v>
      </c>
      <c r="C29" s="7">
        <f>standard!C29</f>
        <v>11.192</v>
      </c>
      <c r="D29" s="7">
        <f>standard!D29</f>
        <v>857.36500000000001</v>
      </c>
      <c r="E29" s="7">
        <f>standard!E29</f>
        <v>5</v>
      </c>
      <c r="F29" s="14">
        <f>standard!F29</f>
        <v>17.249288480000001</v>
      </c>
      <c r="G29" s="2">
        <f>standard!G29</f>
        <v>17.170000000000002</v>
      </c>
      <c r="H29" s="42">
        <f>standard!H29</f>
        <v>44.025279159999997</v>
      </c>
      <c r="I29" s="2">
        <f>standard!I29</f>
        <v>43.3</v>
      </c>
      <c r="J29" s="43">
        <f>standard!J29</f>
        <v>1.439915762</v>
      </c>
      <c r="K29" s="2">
        <f>standard!K29</f>
        <v>2.4900000000000002</v>
      </c>
      <c r="L29" s="14">
        <f>standard!L29</f>
        <v>3.1159347089999998</v>
      </c>
      <c r="M29" s="2">
        <f>standard!M29</f>
        <v>3.45</v>
      </c>
      <c r="N29" s="12">
        <f>standard!N29</f>
        <v>6038.6682069999997</v>
      </c>
      <c r="O29">
        <f>standard!O29</f>
        <v>6316</v>
      </c>
      <c r="P29" s="19">
        <f t="shared" si="0"/>
        <v>277.33179300000029</v>
      </c>
      <c r="Q29" s="43">
        <v>7.2866652690000002</v>
      </c>
      <c r="R29">
        <v>5.39</v>
      </c>
      <c r="S29" s="16">
        <v>4359.2700050000003</v>
      </c>
      <c r="T29">
        <v>4172</v>
      </c>
      <c r="V29" s="2"/>
      <c r="W29" s="43"/>
      <c r="Y29" s="16">
        <v>47.606158479999998</v>
      </c>
      <c r="Z29" s="2">
        <v>42.88</v>
      </c>
      <c r="AA29" s="16">
        <v>49.075038730000003</v>
      </c>
      <c r="AB29" s="2">
        <v>51.02</v>
      </c>
      <c r="AD29" s="12"/>
    </row>
    <row r="30" spans="1:30" x14ac:dyDescent="0.25">
      <c r="A30" s="7">
        <f>standard!A30</f>
        <v>2.5</v>
      </c>
      <c r="B30" s="7">
        <f>standard!B30</f>
        <v>8.0839999999999996</v>
      </c>
      <c r="C30" s="7">
        <f>standard!C30</f>
        <v>11.192</v>
      </c>
      <c r="D30" s="7">
        <f>standard!D30</f>
        <v>857.36500000000001</v>
      </c>
      <c r="E30" s="7">
        <f>standard!E30</f>
        <v>6</v>
      </c>
      <c r="F30" s="14">
        <f>standard!F30</f>
        <v>17.249288480000001</v>
      </c>
      <c r="G30" s="2">
        <f>standard!G30</f>
        <v>17.170000000000002</v>
      </c>
      <c r="H30" s="42">
        <f>standard!H30</f>
        <v>44.023647480000001</v>
      </c>
      <c r="I30" s="2">
        <f>standard!I30</f>
        <v>43.3</v>
      </c>
      <c r="J30" s="43">
        <f>standard!J30</f>
        <v>1.3392755439999999</v>
      </c>
      <c r="K30" s="2">
        <f>standard!K30</f>
        <v>2.4900000000000002</v>
      </c>
      <c r="L30" s="14">
        <f>standard!L30</f>
        <v>3.1153888379999999</v>
      </c>
      <c r="M30" s="2">
        <f>standard!M30</f>
        <v>3.45</v>
      </c>
      <c r="N30" s="12">
        <f>standard!N30</f>
        <v>6028.5736049999996</v>
      </c>
      <c r="O30">
        <f>standard!O30</f>
        <v>6309</v>
      </c>
      <c r="P30" s="19">
        <f t="shared" si="0"/>
        <v>280.42639500000041</v>
      </c>
      <c r="Q30" s="43">
        <v>8.0058970980000002</v>
      </c>
      <c r="R30">
        <v>5.39</v>
      </c>
      <c r="S30" s="16">
        <v>5215.9402630000004</v>
      </c>
      <c r="T30">
        <v>5042</v>
      </c>
      <c r="V30" s="2"/>
      <c r="W30" s="43"/>
      <c r="Y30" s="16">
        <v>50.482489719999997</v>
      </c>
      <c r="Z30" s="2">
        <v>43.76</v>
      </c>
      <c r="AA30" s="16">
        <v>50.052392349999998</v>
      </c>
      <c r="AB30" s="2">
        <v>51.17</v>
      </c>
      <c r="AD30" s="12"/>
    </row>
    <row r="31" spans="1:30" x14ac:dyDescent="0.25">
      <c r="A31" s="7">
        <f>standard!A31</f>
        <v>2.5</v>
      </c>
      <c r="B31" s="7">
        <f>standard!B31</f>
        <v>8.0839999999999996</v>
      </c>
      <c r="C31" s="7">
        <f>standard!C31</f>
        <v>11.192</v>
      </c>
      <c r="D31" s="7">
        <f>standard!D31</f>
        <v>857.36500000000001</v>
      </c>
      <c r="E31" s="7">
        <f>standard!E31</f>
        <v>7</v>
      </c>
      <c r="F31" s="14">
        <f>standard!F31</f>
        <v>17.249288480000001</v>
      </c>
      <c r="G31" s="2">
        <f>standard!G31</f>
        <v>17.170000000000002</v>
      </c>
      <c r="H31" s="42">
        <f>standard!H31</f>
        <v>44.022168409999999</v>
      </c>
      <c r="I31" s="2">
        <f>standard!I31</f>
        <v>43.3</v>
      </c>
      <c r="J31" s="43">
        <f>standard!J31</f>
        <v>1.2494636779999999</v>
      </c>
      <c r="K31" s="2">
        <f>standard!K31</f>
        <v>2.4900000000000002</v>
      </c>
      <c r="L31" s="14">
        <f>standard!L31</f>
        <v>3.114903392</v>
      </c>
      <c r="M31" s="2">
        <f>standard!M31</f>
        <v>3.45</v>
      </c>
      <c r="N31" s="12">
        <f>standard!N31</f>
        <v>6016.8688869999996</v>
      </c>
      <c r="O31">
        <f>standard!O31</f>
        <v>6289</v>
      </c>
      <c r="P31" s="19">
        <f t="shared" si="0"/>
        <v>272.13111300000037</v>
      </c>
      <c r="Q31" s="43">
        <v>8.7802782019999999</v>
      </c>
      <c r="R31">
        <v>5.39</v>
      </c>
      <c r="S31" s="16">
        <v>6073.1341700000003</v>
      </c>
      <c r="T31">
        <v>6118</v>
      </c>
      <c r="V31" s="2"/>
      <c r="W31" s="43"/>
      <c r="Y31" s="16">
        <v>52.5801929</v>
      </c>
      <c r="Z31" s="2">
        <v>46.72</v>
      </c>
      <c r="AA31" s="16">
        <v>50.521790789999997</v>
      </c>
      <c r="AB31" s="2">
        <v>51.89</v>
      </c>
      <c r="AD31" s="12"/>
    </row>
    <row r="32" spans="1:30" ht="15.75" thickBot="1" x14ac:dyDescent="0.3">
      <c r="A32" s="20">
        <f>standard!A32</f>
        <v>2.5</v>
      </c>
      <c r="B32" s="20">
        <f>standard!B32</f>
        <v>8.0839999999999996</v>
      </c>
      <c r="C32" s="20">
        <f>standard!C32</f>
        <v>11.192</v>
      </c>
      <c r="D32" s="20">
        <f>standard!D32</f>
        <v>857.36500000000001</v>
      </c>
      <c r="E32" s="20">
        <f>standard!E32</f>
        <v>8</v>
      </c>
      <c r="F32" s="21">
        <f>standard!F32</f>
        <v>17.249288480000001</v>
      </c>
      <c r="G32" s="8">
        <f>standard!G32</f>
        <v>17.170000000000002</v>
      </c>
      <c r="H32" s="22">
        <f>standard!H32</f>
        <v>44.020887999999999</v>
      </c>
      <c r="I32" s="8">
        <f>standard!I32</f>
        <v>43.3</v>
      </c>
      <c r="J32" s="23">
        <f>standard!J32</f>
        <v>1.169046885</v>
      </c>
      <c r="K32" s="8">
        <f>standard!K32</f>
        <v>2.4900000000000002</v>
      </c>
      <c r="L32" s="21">
        <f>standard!L32</f>
        <v>3.1185898779999999</v>
      </c>
      <c r="M32" s="8">
        <f>standard!M32</f>
        <v>3.45</v>
      </c>
      <c r="N32" s="24">
        <f>standard!N32</f>
        <v>6003.682495</v>
      </c>
      <c r="O32" s="10">
        <f>standard!O32</f>
        <v>6237</v>
      </c>
      <c r="P32" s="25">
        <f t="shared" si="0"/>
        <v>233.31750499999998</v>
      </c>
      <c r="Q32" s="23">
        <v>9.5964672550000003</v>
      </c>
      <c r="R32" s="10">
        <v>5.39</v>
      </c>
      <c r="S32" s="26">
        <v>6928.4684129999996</v>
      </c>
      <c r="T32" s="10">
        <v>6640</v>
      </c>
      <c r="U32" s="10"/>
      <c r="V32" s="8"/>
      <c r="W32" s="23"/>
      <c r="X32" s="10"/>
      <c r="Y32" s="26">
        <v>54.80952972</v>
      </c>
      <c r="Z32" s="8">
        <v>52.83</v>
      </c>
      <c r="AA32" s="26">
        <v>50.96525286</v>
      </c>
      <c r="AB32" s="8">
        <v>54.39</v>
      </c>
      <c r="AD32" s="12"/>
    </row>
    <row r="33" spans="14:30" x14ac:dyDescent="0.25">
      <c r="N33" s="12"/>
      <c r="P33" s="19">
        <f>AVERAGE(P6:P32)</f>
        <v>303.58340851851852</v>
      </c>
      <c r="AC33" t="s">
        <v>26</v>
      </c>
      <c r="AD33" s="12"/>
    </row>
  </sheetData>
  <autoFilter ref="A5:AB32" xr:uid="{3B0A0E55-AFF8-4EA7-9003-E3B6E57A1FCA}"/>
  <mergeCells count="11">
    <mergeCell ref="Q4:R4"/>
    <mergeCell ref="W4:X4"/>
    <mergeCell ref="Y4:Z4"/>
    <mergeCell ref="AA4:AB4"/>
    <mergeCell ref="S4:V4"/>
    <mergeCell ref="A1:O1"/>
    <mergeCell ref="F4:G4"/>
    <mergeCell ref="H4:I4"/>
    <mergeCell ref="J4:K4"/>
    <mergeCell ref="L4:M4"/>
    <mergeCell ref="N4:P4"/>
  </mergeCells>
  <conditionalFormatting sqref="A6:A32">
    <cfRule type="colorScale" priority="8">
      <colorScale>
        <cfvo type="min"/>
        <cfvo type="max"/>
        <color rgb="FFFCFCFF"/>
        <color rgb="FF63BE7B"/>
      </colorScale>
    </cfRule>
  </conditionalFormatting>
  <conditionalFormatting sqref="B6:B32">
    <cfRule type="colorScale" priority="9">
      <colorScale>
        <cfvo type="min"/>
        <cfvo type="max"/>
        <color rgb="FFFCFCFF"/>
        <color rgb="FF63BE7B"/>
      </colorScale>
    </cfRule>
  </conditionalFormatting>
  <conditionalFormatting sqref="C6:C32">
    <cfRule type="colorScale" priority="10">
      <colorScale>
        <cfvo type="min"/>
        <cfvo type="max"/>
        <color rgb="FFFCFCFF"/>
        <color rgb="FF63BE7B"/>
      </colorScale>
    </cfRule>
  </conditionalFormatting>
  <conditionalFormatting sqref="D6:D32">
    <cfRule type="colorScale" priority="4">
      <colorScale>
        <cfvo type="min"/>
        <cfvo type="max"/>
        <color rgb="FF63BE7B"/>
        <color rgb="FFFCFCFF"/>
      </colorScale>
    </cfRule>
  </conditionalFormatting>
  <conditionalFormatting sqref="E6:E984">
    <cfRule type="cellIs" dxfId="8" priority="5" operator="greaterThan">
      <formula>8.94</formula>
    </cfRule>
    <cfRule type="cellIs" dxfId="7" priority="6" operator="greaterThan">
      <formula>4.47</formula>
    </cfRule>
  </conditionalFormatting>
  <conditionalFormatting sqref="H6:I34">
    <cfRule type="cellIs" dxfId="6" priority="7" operator="lessThan">
      <formula>$E$3</formula>
    </cfRule>
  </conditionalFormatting>
  <conditionalFormatting sqref="J6:M34">
    <cfRule type="expression" dxfId="5" priority="11">
      <formula>AND(ISNUMBER(J6),J6&lt;$D$3)</formula>
    </cfRule>
  </conditionalFormatting>
  <conditionalFormatting sqref="Q6:R34">
    <cfRule type="cellIs" dxfId="4" priority="19" operator="greaterThan">
      <formula>$G$3</formula>
    </cfRule>
  </conditionalFormatting>
  <conditionalFormatting sqref="S6:V32">
    <cfRule type="cellIs" dxfId="3" priority="1" operator="greaterThan">
      <formula>$F$3</formula>
    </cfRule>
  </conditionalFormatting>
  <conditionalFormatting sqref="Y6:Z32">
    <cfRule type="cellIs" dxfId="2" priority="16" operator="greaterThan">
      <formula>$F$3</formula>
    </cfRule>
    <cfRule type="cellIs" dxfId="1" priority="24" operator="greaterThan">
      <formula>$I$3</formula>
    </cfRule>
  </conditionalFormatting>
  <conditionalFormatting sqref="AA6:AB32">
    <cfRule type="cellIs" dxfId="0" priority="14" operator="greaterThan">
      <formula>$K$3</formula>
    </cfRule>
  </conditionalFormatting>
  <pageMargins left="0.7" right="0.7" top="0.75" bottom="0.75" header="0.3" footer="0.3"/>
  <pageSetup paperSize="9" orientation="portrait" horizontalDpi="4294967293" verticalDpi="0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BEFE3F4-7685-4DED-BC0E-6289CEBA11B2}">
  <dimension ref="A1:A10"/>
  <sheetViews>
    <sheetView workbookViewId="0">
      <selection activeCell="A22" sqref="A22"/>
    </sheetView>
  </sheetViews>
  <sheetFormatPr defaultRowHeight="15" x14ac:dyDescent="0.25"/>
  <cols>
    <col min="1" max="1" width="182.28515625" customWidth="1"/>
  </cols>
  <sheetData>
    <row r="1" spans="1:1" x14ac:dyDescent="0.25">
      <c r="A1" s="18" t="s">
        <v>23</v>
      </c>
    </row>
    <row r="2" spans="1:1" x14ac:dyDescent="0.25">
      <c r="A2" s="17" t="s">
        <v>22</v>
      </c>
    </row>
    <row r="3" spans="1:1" x14ac:dyDescent="0.25">
      <c r="A3" t="s">
        <v>24</v>
      </c>
    </row>
    <row r="5" spans="1:1" x14ac:dyDescent="0.25">
      <c r="A5" s="17" t="s">
        <v>19</v>
      </c>
    </row>
    <row r="6" spans="1:1" x14ac:dyDescent="0.25">
      <c r="A6" t="s">
        <v>18</v>
      </c>
    </row>
    <row r="7" spans="1:1" x14ac:dyDescent="0.25">
      <c r="A7" t="s">
        <v>20</v>
      </c>
    </row>
    <row r="9" spans="1:1" x14ac:dyDescent="0.25">
      <c r="A9" s="17" t="s">
        <v>21</v>
      </c>
    </row>
    <row r="10" spans="1:1" x14ac:dyDescent="0.25">
      <c r="A10" t="s">
        <v>27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standard</vt:lpstr>
      <vt:lpstr>main_at_apogee</vt:lpstr>
      <vt:lpstr>Analysis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Frey, Ciel</dc:creator>
  <cp:lastModifiedBy>Frey, Ciel</cp:lastModifiedBy>
  <dcterms:created xsi:type="dcterms:W3CDTF">2026-10-02T16:28:55Z</dcterms:created>
  <dcterms:modified xsi:type="dcterms:W3CDTF">2026-10-03T22:50:28Z</dcterms:modified>
</cp:coreProperties>
</file>