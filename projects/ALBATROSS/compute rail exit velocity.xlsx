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s\TU Space Team\Lamarr_Flight_Simulation_RocketPy\Lamarr_Flight_Simulation_RocketPy\projects\ALBATROSS\"/>
    </mc:Choice>
  </mc:AlternateContent>
  <xr:revisionPtr revIDLastSave="0" documentId="13_ncr:1_{2FC9228C-716C-424D-974F-2F55D86C9AA7}" xr6:coauthVersionLast="47" xr6:coauthVersionMax="47" xr10:uidLastSave="{00000000-0000-0000-0000-000000000000}"/>
  <bookViews>
    <workbookView xWindow="-120" yWindow="-120" windowWidth="29040" windowHeight="15720" xr2:uid="{1F7506AD-6491-4D7A-B043-943787E8C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D20" i="1" s="1"/>
  <c r="E21" i="1" s="1"/>
  <c r="F21" i="1" s="1"/>
  <c r="G21" i="1" s="1"/>
  <c r="C16" i="1"/>
  <c r="D16" i="1" s="1"/>
  <c r="E17" i="1" s="1"/>
  <c r="F17" i="1" s="1"/>
  <c r="G17" i="1" s="1"/>
  <c r="C12" i="1"/>
  <c r="D12" i="1" s="1"/>
  <c r="E13" i="1" s="1"/>
  <c r="F13" i="1" s="1"/>
  <c r="G13" i="1" s="1"/>
  <c r="B20" i="1"/>
  <c r="B16" i="1"/>
  <c r="B12" i="1"/>
  <c r="J4" i="1"/>
  <c r="E15" i="1" l="1"/>
  <c r="F15" i="1" s="1"/>
  <c r="G15" i="1" s="1"/>
  <c r="E16" i="1"/>
  <c r="F16" i="1" s="1"/>
  <c r="G16" i="1" s="1"/>
  <c r="E19" i="1"/>
  <c r="F19" i="1" s="1"/>
  <c r="G19" i="1" s="1"/>
  <c r="E18" i="1"/>
  <c r="F18" i="1" s="1"/>
  <c r="G18" i="1" s="1"/>
  <c r="E22" i="1"/>
  <c r="F22" i="1" s="1"/>
  <c r="G22" i="1" s="1"/>
  <c r="E20" i="1"/>
  <c r="F20" i="1" s="1"/>
  <c r="G20" i="1" s="1"/>
  <c r="E23" i="1"/>
  <c r="F23" i="1" s="1"/>
  <c r="G23" i="1" s="1"/>
  <c r="E12" i="1"/>
  <c r="F12" i="1" s="1"/>
  <c r="G12" i="1" s="1"/>
  <c r="E14" i="1"/>
  <c r="F14" i="1" s="1"/>
  <c r="G14" i="1" s="1"/>
</calcChain>
</file>

<file path=xl/sharedStrings.xml><?xml version="1.0" encoding="utf-8"?>
<sst xmlns="http://schemas.openxmlformats.org/spreadsheetml/2006/main" count="31" uniqueCount="28">
  <si>
    <t>stability margin [cal]</t>
  </si>
  <si>
    <t>wind speed [m/s]</t>
  </si>
  <si>
    <t>rail exit velocity to achieve corresponding stability margin [m/s]</t>
  </si>
  <si>
    <t>https://www.apogeerockets.com/wind_caused_instability</t>
  </si>
  <si>
    <t>https://www.altimetercloud.com/tools/railexit_calculator/</t>
  </si>
  <si>
    <t>https://rocketryforschools.co.uk/blogs/rocketry-guides/wind-speed-limits-rocket-launches</t>
  </si>
  <si>
    <t>https://www.apogeerockets.com/Peak-of-Flight/Newsletter671</t>
  </si>
  <si>
    <t>https://www.apogeerockets.com/Peak-of-Flight/Newsletter498</t>
  </si>
  <si>
    <t>thrust to weight at rail exit</t>
  </si>
  <si>
    <t>acceleration at rail exit [m/s^2]</t>
  </si>
  <si>
    <t>effective rail lenght (upper rail button to top of launch rail) [m]</t>
  </si>
  <si>
    <t>rail inclination from vertical [rad]</t>
  </si>
  <si>
    <t>wind speed measured at surface</t>
  </si>
  <si>
    <t>angular stability margin α_max [°]</t>
  </si>
  <si>
    <t>angular stability margin α_max [rad]</t>
  </si>
  <si>
    <t>2. Compute rail exit velocity for given stability margin and wind speed</t>
  </si>
  <si>
    <t>angular stability margin α_max [°] = max. degrees the angle of attack α can be before the rocket gets unstable (rocket becomes more unstable as angle of attack increases)</t>
  </si>
  <si>
    <t>stability margin [cal] = distance CP and CG divided by rocket diameter (moment arm) (bigger=more stable)</t>
  </si>
  <si>
    <t>Launch rail length [m]</t>
  </si>
  <si>
    <r>
      <t xml:space="preserve">from OpenRocket simulation with </t>
    </r>
    <r>
      <rPr>
        <b/>
        <sz val="11"/>
        <color theme="1"/>
        <rFont val="Calibri"/>
        <family val="2"/>
      </rPr>
      <t>0° inclination</t>
    </r>
    <r>
      <rPr>
        <sz val="11"/>
        <color theme="1"/>
        <rFont val="Calibri"/>
        <family val="2"/>
      </rPr>
      <t>; using wind speed to vary angle of attack</t>
    </r>
  </si>
  <si>
    <t>1. get angular stability margin α_max to corresponding stability margin</t>
  </si>
  <si>
    <t>Desired stability margin [cal]</t>
  </si>
  <si>
    <t>Wind speed at launch site on launch day [m/s]</t>
  </si>
  <si>
    <t>fineness ratio</t>
  </si>
  <si>
    <t>28.23:1</t>
  </si>
  <si>
    <t>fineness ratio = total length rocket : diameter (rule of thumb: 10% of it should be min. stability margin)</t>
  </si>
  <si>
    <t>thrust to weight at rail exit (rule of thumb: should be 5:1)</t>
  </si>
  <si>
    <t>ALBATROSS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</si>
</sst>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0" xfId="0" applyNumberFormat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2" fontId="0" fillId="4" borderId="1" xfId="0" applyNumberFormat="1" applyFill="1" applyBorder="1"/>
    <xf numFmtId="2" fontId="0" fillId="4" borderId="0" xfId="0" applyNumberFormat="1" applyFill="1"/>
    <xf numFmtId="2" fontId="0" fillId="4" borderId="5" xfId="0" applyNumberFormat="1" applyFill="1" applyBorder="1"/>
    <xf numFmtId="0" fontId="0" fillId="4" borderId="4" xfId="0" applyFill="1" applyBorder="1"/>
    <xf numFmtId="0" fontId="0" fillId="4" borderId="0" xfId="0" applyFill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863F-C4B0-4018-BFB9-AFDED3D59D0D}">
  <dimension ref="A1:L23"/>
  <sheetViews>
    <sheetView tabSelected="1" workbookViewId="0">
      <selection activeCell="D2" sqref="D2"/>
    </sheetView>
  </sheetViews>
  <sheetFormatPr defaultRowHeight="15" x14ac:dyDescent="0.25"/>
  <cols>
    <col min="1" max="1" width="12.7109375" customWidth="1"/>
    <col min="2" max="2" width="15.42578125" customWidth="1"/>
    <col min="3" max="3" width="16.85546875" customWidth="1"/>
    <col min="4" max="4" width="18.28515625" customWidth="1"/>
    <col min="5" max="5" width="23.140625" customWidth="1"/>
    <col min="6" max="6" width="15.42578125" customWidth="1"/>
    <col min="7" max="7" width="18" customWidth="1"/>
    <col min="8" max="8" width="20.85546875" customWidth="1"/>
    <col min="9" max="9" width="16" customWidth="1"/>
  </cols>
  <sheetData>
    <row r="1" spans="1:12" ht="15.75" thickBot="1" x14ac:dyDescent="0.3">
      <c r="A1" s="32" t="s">
        <v>27</v>
      </c>
    </row>
    <row r="2" spans="1:12" ht="31.5" customHeight="1" thickBot="1" x14ac:dyDescent="0.3">
      <c r="A2" s="25" t="s">
        <v>20</v>
      </c>
      <c r="B2" s="26"/>
      <c r="C2" s="27"/>
      <c r="L2" t="s">
        <v>17</v>
      </c>
    </row>
    <row r="3" spans="1:12" ht="46.5" customHeight="1" thickBot="1" x14ac:dyDescent="0.3">
      <c r="A3" s="9" t="s">
        <v>1</v>
      </c>
      <c r="B3" s="9" t="s">
        <v>0</v>
      </c>
      <c r="C3" s="10" t="s">
        <v>13</v>
      </c>
      <c r="E3" s="8" t="s">
        <v>23</v>
      </c>
      <c r="F3" s="9" t="s">
        <v>21</v>
      </c>
      <c r="G3" s="9" t="s">
        <v>22</v>
      </c>
      <c r="H3" s="9" t="s">
        <v>18</v>
      </c>
      <c r="I3" s="9" t="s">
        <v>10</v>
      </c>
      <c r="J3" s="10" t="s">
        <v>11</v>
      </c>
      <c r="L3" t="s">
        <v>12</v>
      </c>
    </row>
    <row r="4" spans="1:12" ht="15.75" thickBot="1" x14ac:dyDescent="0.3">
      <c r="A4" s="17">
        <v>2</v>
      </c>
      <c r="B4" s="21">
        <v>3.51</v>
      </c>
      <c r="C4" s="18">
        <v>5.44</v>
      </c>
      <c r="E4" s="16" t="s">
        <v>24</v>
      </c>
      <c r="F4" s="19">
        <v>4</v>
      </c>
      <c r="G4" s="19">
        <v>1.4</v>
      </c>
      <c r="H4" s="19">
        <v>7</v>
      </c>
      <c r="I4" s="19">
        <v>4.9829999999999997</v>
      </c>
      <c r="J4" s="1">
        <f>RADIANS(2)</f>
        <v>3.4906585039886591E-2</v>
      </c>
      <c r="L4" t="s">
        <v>16</v>
      </c>
    </row>
    <row r="5" spans="1:12" ht="16.5" customHeight="1" x14ac:dyDescent="0.25">
      <c r="A5" s="17">
        <v>1.5</v>
      </c>
      <c r="B5" s="17">
        <v>3.83</v>
      </c>
      <c r="C5" s="18">
        <v>4.08</v>
      </c>
      <c r="L5" t="s">
        <v>25</v>
      </c>
    </row>
    <row r="6" spans="1:12" ht="15.75" thickBot="1" x14ac:dyDescent="0.3">
      <c r="A6" s="19">
        <v>1.2</v>
      </c>
      <c r="B6" s="19">
        <v>4.05</v>
      </c>
      <c r="C6" s="20">
        <v>3.27</v>
      </c>
      <c r="L6" t="s">
        <v>26</v>
      </c>
    </row>
    <row r="7" spans="1:12" ht="18.75" customHeight="1" x14ac:dyDescent="0.25">
      <c r="A7" s="31" t="s">
        <v>19</v>
      </c>
      <c r="B7" s="31"/>
      <c r="C7" s="31"/>
      <c r="D7" s="31"/>
      <c r="E7" s="31"/>
      <c r="F7" s="31"/>
      <c r="G7" s="31"/>
      <c r="L7" t="s">
        <v>3</v>
      </c>
    </row>
    <row r="8" spans="1:12" x14ac:dyDescent="0.25">
      <c r="L8" t="s">
        <v>4</v>
      </c>
    </row>
    <row r="9" spans="1:12" ht="15.75" thickBot="1" x14ac:dyDescent="0.3">
      <c r="L9" t="s">
        <v>6</v>
      </c>
    </row>
    <row r="10" spans="1:12" ht="15.75" thickBot="1" x14ac:dyDescent="0.3">
      <c r="A10" s="28" t="s">
        <v>15</v>
      </c>
      <c r="B10" s="29"/>
      <c r="C10" s="29"/>
      <c r="D10" s="29"/>
      <c r="E10" s="29"/>
      <c r="F10" s="29"/>
      <c r="G10" s="30"/>
      <c r="L10" t="s">
        <v>5</v>
      </c>
    </row>
    <row r="11" spans="1:12" ht="50.25" customHeight="1" thickBot="1" x14ac:dyDescent="0.3">
      <c r="A11" s="11" t="s">
        <v>1</v>
      </c>
      <c r="B11" s="9" t="s">
        <v>0</v>
      </c>
      <c r="C11" s="11" t="s">
        <v>13</v>
      </c>
      <c r="D11" s="11" t="s">
        <v>14</v>
      </c>
      <c r="E11" s="11" t="s">
        <v>2</v>
      </c>
      <c r="F11" s="11" t="s">
        <v>9</v>
      </c>
      <c r="G11" s="12" t="s">
        <v>8</v>
      </c>
      <c r="L11" t="s">
        <v>7</v>
      </c>
    </row>
    <row r="12" spans="1:12" x14ac:dyDescent="0.25">
      <c r="A12" s="13">
        <v>1</v>
      </c>
      <c r="B12" s="22">
        <f>B4</f>
        <v>3.51</v>
      </c>
      <c r="C12" s="2">
        <f>C4</f>
        <v>5.44</v>
      </c>
      <c r="D12" s="2">
        <f>RADIANS(C12)</f>
        <v>9.4945911308491532E-2</v>
      </c>
      <c r="E12" s="2">
        <f>A12/TAN($D$12)</f>
        <v>10.50064473679282</v>
      </c>
      <c r="F12" s="2">
        <f t="shared" ref="F12:F23" si="0">E12^2/(2*$I$4)</f>
        <v>11.063971491905956</v>
      </c>
      <c r="G12" s="3">
        <f t="shared" ref="G12:G23" si="1">F12/9.81+COS($J$4)</f>
        <v>2.127216667172608</v>
      </c>
    </row>
    <row r="13" spans="1:12" x14ac:dyDescent="0.25">
      <c r="A13" s="14">
        <v>1.4</v>
      </c>
      <c r="B13" s="23"/>
      <c r="C13" s="4"/>
      <c r="D13" s="4"/>
      <c r="E13" s="4">
        <f>A13/TAN($D$12)</f>
        <v>14.700902631509946</v>
      </c>
      <c r="F13" s="4">
        <f t="shared" si="0"/>
        <v>21.685384124135666</v>
      </c>
      <c r="G13" s="5">
        <f t="shared" si="1"/>
        <v>3.2099294737199791</v>
      </c>
    </row>
    <row r="14" spans="1:12" ht="44.25" customHeight="1" x14ac:dyDescent="0.25">
      <c r="A14" s="14">
        <v>2</v>
      </c>
      <c r="B14" s="23"/>
      <c r="C14" s="4"/>
      <c r="D14" s="4"/>
      <c r="E14" s="4">
        <f>A14/TAN($D$12)</f>
        <v>21.00128947358564</v>
      </c>
      <c r="F14" s="4">
        <f t="shared" si="0"/>
        <v>44.255885967623826</v>
      </c>
      <c r="G14" s="5">
        <f t="shared" si="1"/>
        <v>5.5106941876331454</v>
      </c>
    </row>
    <row r="15" spans="1:12" ht="15.75" thickBot="1" x14ac:dyDescent="0.3">
      <c r="A15" s="15">
        <v>9</v>
      </c>
      <c r="B15" s="24"/>
      <c r="C15" s="6"/>
      <c r="D15" s="6"/>
      <c r="E15" s="6">
        <f>A15/TAN($D$12)</f>
        <v>94.505802631135367</v>
      </c>
      <c r="F15" s="6">
        <f t="shared" si="0"/>
        <v>896.18169084438216</v>
      </c>
      <c r="G15" s="7">
        <f t="shared" si="1"/>
        <v>92.353283879453571</v>
      </c>
    </row>
    <row r="16" spans="1:12" x14ac:dyDescent="0.25">
      <c r="A16" s="13">
        <v>1</v>
      </c>
      <c r="B16" s="22">
        <f>B5</f>
        <v>3.83</v>
      </c>
      <c r="C16" s="2">
        <f>C5</f>
        <v>4.08</v>
      </c>
      <c r="D16" s="2">
        <f>RADIANS(C16)</f>
        <v>7.1209433481368642E-2</v>
      </c>
      <c r="E16" s="2">
        <f>A16/TAN($D$16)</f>
        <v>14.01933870811734</v>
      </c>
      <c r="F16" s="2">
        <f t="shared" si="0"/>
        <v>19.721237990459283</v>
      </c>
      <c r="G16" s="3">
        <f t="shared" si="1"/>
        <v>3.0097107037223867</v>
      </c>
    </row>
    <row r="17" spans="1:7" x14ac:dyDescent="0.25">
      <c r="A17" s="14">
        <v>1.4</v>
      </c>
      <c r="B17" s="23"/>
      <c r="C17" s="4"/>
      <c r="D17" s="4"/>
      <c r="E17" s="4">
        <f>A17/TAN($D$16)</f>
        <v>19.627074191364276</v>
      </c>
      <c r="F17" s="4">
        <f t="shared" si="0"/>
        <v>38.653626461300185</v>
      </c>
      <c r="G17" s="5">
        <f t="shared" si="1"/>
        <v>4.9396177853575445</v>
      </c>
    </row>
    <row r="18" spans="1:7" x14ac:dyDescent="0.25">
      <c r="A18" s="14">
        <v>2</v>
      </c>
      <c r="B18" s="23"/>
      <c r="C18" s="4"/>
      <c r="D18" s="4"/>
      <c r="E18" s="4">
        <f>A18/TAN($D$16)</f>
        <v>28.03867741623468</v>
      </c>
      <c r="F18" s="4">
        <f t="shared" si="0"/>
        <v>78.884951961837132</v>
      </c>
      <c r="G18" s="5">
        <f t="shared" si="1"/>
        <v>9.0406703338322583</v>
      </c>
    </row>
    <row r="19" spans="1:7" ht="15.75" thickBot="1" x14ac:dyDescent="0.3">
      <c r="A19" s="15">
        <v>9</v>
      </c>
      <c r="B19" s="24"/>
      <c r="C19" s="6"/>
      <c r="D19" s="6"/>
      <c r="E19" s="6">
        <f>A19/TAN($D$16)</f>
        <v>126.17404837305607</v>
      </c>
      <c r="F19" s="6">
        <f t="shared" si="0"/>
        <v>1597.420277227202</v>
      </c>
      <c r="G19" s="7">
        <f t="shared" si="1"/>
        <v>163.83530083998565</v>
      </c>
    </row>
    <row r="20" spans="1:7" x14ac:dyDescent="0.25">
      <c r="A20" s="14">
        <v>1</v>
      </c>
      <c r="B20" s="22">
        <f>B6</f>
        <v>4.05</v>
      </c>
      <c r="C20" s="4">
        <f>C6</f>
        <v>3.27</v>
      </c>
      <c r="D20" s="2">
        <f>RADIANS(C20)</f>
        <v>5.7072266540214578E-2</v>
      </c>
      <c r="E20" s="4">
        <f>A20/TAN($D$20)</f>
        <v>17.502616889832893</v>
      </c>
      <c r="F20" s="4">
        <f t="shared" si="0"/>
        <v>30.738671281583752</v>
      </c>
      <c r="G20" s="5">
        <f t="shared" si="1"/>
        <v>4.132792588648428</v>
      </c>
    </row>
    <row r="21" spans="1:7" x14ac:dyDescent="0.25">
      <c r="A21" s="14">
        <v>1.4</v>
      </c>
      <c r="B21" s="23"/>
      <c r="C21" s="4"/>
      <c r="D21" s="4"/>
      <c r="E21" s="4">
        <f>A21/TAN($D$20)</f>
        <v>24.503663645766046</v>
      </c>
      <c r="F21" s="4">
        <f t="shared" si="0"/>
        <v>60.247795711904139</v>
      </c>
      <c r="G21" s="5">
        <f t="shared" si="1"/>
        <v>7.1408582798125861</v>
      </c>
    </row>
    <row r="22" spans="1:7" x14ac:dyDescent="0.25">
      <c r="A22" s="14">
        <v>2</v>
      </c>
      <c r="B22" s="23"/>
      <c r="C22" s="4"/>
      <c r="D22" s="4"/>
      <c r="E22" s="4">
        <f>A22/TAN($D$20)</f>
        <v>35.005233779665787</v>
      </c>
      <c r="F22" s="4">
        <f t="shared" si="0"/>
        <v>122.95468512633501</v>
      </c>
      <c r="G22" s="5">
        <f t="shared" si="1"/>
        <v>13.532997873536424</v>
      </c>
    </row>
    <row r="23" spans="1:7" ht="15.75" thickBot="1" x14ac:dyDescent="0.3">
      <c r="A23" s="15">
        <v>9</v>
      </c>
      <c r="B23" s="24"/>
      <c r="C23" s="6"/>
      <c r="D23" s="6"/>
      <c r="E23" s="6">
        <f>A23/TAN($D$20)</f>
        <v>157.52355200849604</v>
      </c>
      <c r="F23" s="6">
        <f t="shared" si="0"/>
        <v>2489.832373808284</v>
      </c>
      <c r="G23" s="7">
        <f t="shared" si="1"/>
        <v>254.80493351899503</v>
      </c>
    </row>
  </sheetData>
  <mergeCells count="3">
    <mergeCell ref="A2:C2"/>
    <mergeCell ref="A10:G10"/>
    <mergeCell ref="A7:G7"/>
  </mergeCells>
  <conditionalFormatting sqref="A4:C6">
    <cfRule type="expression" dxfId="1" priority="3">
      <formula>$B4&gt;=$F$4</formula>
    </cfRule>
  </conditionalFormatting>
  <conditionalFormatting sqref="A12:G23">
    <cfRule type="expression" dxfId="0" priority="4">
      <formula>$A12=$G$4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Ciel</dc:creator>
  <cp:lastModifiedBy>Frey, Ciel</cp:lastModifiedBy>
  <dcterms:created xsi:type="dcterms:W3CDTF">2026-05-27T11:37:49Z</dcterms:created>
  <dcterms:modified xsi:type="dcterms:W3CDTF">2026-10-02T11:36:38Z</dcterms:modified>
</cp:coreProperties>
</file>